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i\OneDrive - Wilfrid Laurier University\SECOND YEAR\CP212 Windows App Programming\Assignments\Assignment 5\"/>
    </mc:Choice>
  </mc:AlternateContent>
  <xr:revisionPtr revIDLastSave="38765" documentId="13_ncr:1_{9A7C0C6C-7AA3-4A1F-9FC0-D06921A28976}" xr6:coauthVersionLast="45" xr6:coauthVersionMax="45" xr10:uidLastSave="{99F2C13A-AC42-45EB-8F89-B36B854A032F}"/>
  <bookViews>
    <workbookView xWindow="-8940" yWindow="4530" windowWidth="18360" windowHeight="12900" xr2:uid="{3E6E7E3A-6A43-4F95-9201-E83376459123}"/>
  </bookViews>
  <sheets>
    <sheet name="Main" sheetId="1" r:id="rId1"/>
    <sheet name="Cipher Tables" sheetId="2" r:id="rId2"/>
    <sheet name="Chart" sheetId="3" r:id="rId3"/>
  </sheets>
  <functionGroups builtInGroupCount="19"/>
  <definedNames>
    <definedName name="DecryptTable">Table13[]</definedName>
    <definedName name="EncryptTable">Table1[]</definedName>
    <definedName name="TempChar">'Cipher Tables'!$E$3</definedName>
    <definedName name="TempTransNum">'Cipher Tables'!$F$3</definedName>
    <definedName name="TransChar">'Cipher Tables'!$G$3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2" l="1"/>
  <c r="F3" i="2"/>
  <c r="C3" i="2" l="1"/>
  <c r="D7" i="2" l="1"/>
  <c r="D8" i="2" l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H7" i="2"/>
  <c r="H70" i="2" l="1"/>
  <c r="D71" i="2"/>
  <c r="H8" i="2"/>
  <c r="H71" i="2" l="1"/>
  <c r="D72" i="2"/>
  <c r="H69" i="2"/>
  <c r="H9" i="2"/>
  <c r="H72" i="2" l="1"/>
  <c r="D73" i="2"/>
  <c r="H10" i="2"/>
  <c r="H73" i="2" l="1"/>
  <c r="D74" i="2"/>
  <c r="H11" i="2"/>
  <c r="D75" i="2" l="1"/>
  <c r="H74" i="2"/>
  <c r="H12" i="2"/>
  <c r="D76" i="2" l="1"/>
  <c r="H75" i="2"/>
  <c r="H13" i="2"/>
  <c r="H76" i="2" l="1"/>
  <c r="D77" i="2"/>
  <c r="H14" i="2"/>
  <c r="H77" i="2" l="1"/>
  <c r="D78" i="2"/>
  <c r="H15" i="2"/>
  <c r="H78" i="2" l="1"/>
  <c r="D79" i="2"/>
  <c r="H16" i="2"/>
  <c r="H79" i="2" l="1"/>
  <c r="D80" i="2"/>
  <c r="H17" i="2"/>
  <c r="D81" i="2" l="1"/>
  <c r="H80" i="2"/>
  <c r="H18" i="2"/>
  <c r="D82" i="2" l="1"/>
  <c r="H81" i="2"/>
  <c r="H19" i="2"/>
  <c r="D83" i="2" l="1"/>
  <c r="H82" i="2"/>
  <c r="H20" i="2"/>
  <c r="D84" i="2" l="1"/>
  <c r="H83" i="2"/>
  <c r="H21" i="2"/>
  <c r="D85" i="2" l="1"/>
  <c r="H84" i="2"/>
  <c r="H22" i="2"/>
  <c r="D86" i="2" l="1"/>
  <c r="H85" i="2"/>
  <c r="H23" i="2"/>
  <c r="D87" i="2" l="1"/>
  <c r="H86" i="2"/>
  <c r="H24" i="2"/>
  <c r="D88" i="2" l="1"/>
  <c r="H87" i="2"/>
  <c r="H25" i="2"/>
  <c r="D89" i="2" l="1"/>
  <c r="H88" i="2"/>
  <c r="H26" i="2"/>
  <c r="D90" i="2" l="1"/>
  <c r="H89" i="2"/>
  <c r="H27" i="2"/>
  <c r="D91" i="2" l="1"/>
  <c r="H90" i="2"/>
  <c r="H28" i="2"/>
  <c r="H91" i="2" l="1"/>
  <c r="D92" i="2"/>
  <c r="H29" i="2"/>
  <c r="D93" i="2" l="1"/>
  <c r="H92" i="2"/>
  <c r="H30" i="2"/>
  <c r="H93" i="2" l="1"/>
  <c r="D94" i="2"/>
  <c r="H31" i="2"/>
  <c r="H94" i="2" l="1"/>
  <c r="D95" i="2"/>
  <c r="H32" i="2"/>
  <c r="D96" i="2" l="1"/>
  <c r="H95" i="2"/>
  <c r="H33" i="2"/>
  <c r="H96" i="2" l="1"/>
  <c r="H34" i="2"/>
  <c r="H35" i="2" l="1"/>
  <c r="H36" i="2" l="1"/>
  <c r="H37" i="2" l="1"/>
  <c r="H38" i="2" l="1"/>
  <c r="H39" i="2" l="1"/>
  <c r="H40" i="2" l="1"/>
  <c r="H41" i="2" l="1"/>
  <c r="H42" i="2" l="1"/>
  <c r="H43" i="2" l="1"/>
  <c r="H44" i="2" l="1"/>
  <c r="H45" i="2" l="1"/>
  <c r="H46" i="2" l="1"/>
  <c r="H47" i="2" l="1"/>
  <c r="H48" i="2" l="1"/>
  <c r="H49" i="2" l="1"/>
  <c r="H50" i="2" l="1"/>
  <c r="H51" i="2" l="1"/>
  <c r="H52" i="2" l="1"/>
  <c r="H53" i="2" l="1"/>
  <c r="H54" i="2" l="1"/>
  <c r="H55" i="2" l="1"/>
  <c r="H56" i="2" l="1"/>
  <c r="H57" i="2" l="1"/>
  <c r="H58" i="2" l="1"/>
  <c r="H59" i="2" l="1"/>
  <c r="H60" i="2" l="1"/>
  <c r="H61" i="2" l="1"/>
  <c r="H62" i="2" l="1"/>
  <c r="H63" i="2" l="1"/>
  <c r="H64" i="2" l="1"/>
  <c r="H65" i="2" l="1"/>
  <c r="H66" i="2" l="1"/>
  <c r="H68" i="2" l="1"/>
  <c r="H67" i="2"/>
</calcChain>
</file>

<file path=xl/sharedStrings.xml><?xml version="1.0" encoding="utf-8"?>
<sst xmlns="http://schemas.openxmlformats.org/spreadsheetml/2006/main" count="177" uniqueCount="93">
  <si>
    <t>Translation Factor</t>
  </si>
  <si>
    <t>Numerics</t>
  </si>
  <si>
    <t>Translated Numerics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</si>
  <si>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</si>
  <si>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</si>
  <si>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</si>
  <si>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</si>
  <si>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</si>
  <si>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</si>
  <si>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</si>
  <si>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</si>
  <si>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</si>
  <si>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</si>
  <si>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</si>
  <si>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</si>
  <si>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</si>
  <si>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</si>
  <si>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</si>
  <si>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</si>
  <si>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</si>
  <si>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</si>
  <si>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</si>
  <si>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</si>
  <si>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</si>
  <si>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</si>
  <si>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</si>
  <si>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</si>
  <si>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</si>
  <si>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</si>
  <si>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</si>
  <si>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</si>
  <si>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</si>
  <si>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</si>
  <si>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</si>
  <si>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</si>
  <si>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</si>
  <si>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</si>
  <si>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</si>
  <si>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</si>
  <si>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</si>
  <si>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</si>
  <si>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</si>
  <si>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</si>
  <si>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</si>
  <si>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</si>
  <si>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</si>
  <si>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</si>
  <si>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</si>
  <si>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</si>
  <si>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</si>
  <si>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</si>
  <si>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</si>
  <si>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</si>
  <si>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ENCRYPTION</t>
  </si>
  <si>
    <t>DECRYPTION</t>
  </si>
  <si>
    <t>a</t>
  </si>
  <si>
    <t>A</t>
  </si>
  <si>
    <t>TEMP TRANS NUM</t>
  </si>
  <si>
    <t>ASCII</t>
  </si>
  <si>
    <t>TEMP CHAR</t>
  </si>
  <si>
    <t>TRANS CHAR</t>
  </si>
  <si>
    <t>]</t>
  </si>
  <si>
    <t>#</t>
  </si>
  <si>
    <t>@</t>
  </si>
  <si>
    <t>9</t>
  </si>
  <si>
    <t xml:space="preserve"> </t>
  </si>
  <si>
    <t>&amp;</t>
  </si>
  <si>
    <t>!</t>
  </si>
  <si>
    <t>$</t>
  </si>
  <si>
    <t>%</t>
  </si>
  <si>
    <t>^</t>
  </si>
  <si>
    <t>*</t>
  </si>
  <si>
    <t>(</t>
  </si>
  <si>
    <t>)</t>
  </si>
  <si>
    <t>-</t>
  </si>
  <si>
    <t>_</t>
  </si>
  <si>
    <t>+</t>
  </si>
  <si>
    <t>=</t>
  </si>
  <si>
    <t>{</t>
  </si>
  <si>
    <t>[</t>
  </si>
  <si>
    <t>}</t>
  </si>
  <si>
    <t>,</t>
  </si>
  <si>
    <t>.</t>
  </si>
  <si>
    <t>/</t>
  </si>
  <si>
    <t>?</t>
  </si>
  <si>
    <t>\</t>
  </si>
  <si>
    <t>:</t>
  </si>
  <si>
    <t>;</t>
  </si>
  <si>
    <t>&lt;</t>
  </si>
  <si>
    <t>&gt;</t>
  </si>
  <si>
    <t>Sheet1.crzy</t>
  </si>
  <si>
    <t>Sheet2.crzy</t>
  </si>
  <si>
    <t>Sheet3.crzy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</si>
</sst>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3">
    <xf numFmtId="0" fontId="0" fillId="0" borderId="0" xfId="0"/>
    <xf numFmtId="0" fontId="1" fillId="2" borderId="1" xfId="1"/>
    <xf numFmtId="0" fontId="2" fillId="3" borderId="0" xfId="0" applyFont="1" applyFill="1" applyAlignment="1">
      <alignment horizontal="center"/>
    </xf>
    <xf numFmtId="0" fontId="0" fillId="0" borderId="2" xfId="0" applyFont="1" applyBorder="1"/>
    <xf numFmtId="0" fontId="0" fillId="0" borderId="3" xfId="0" applyFont="1" applyBorder="1"/>
    <xf numFmtId="0" fontId="2" fillId="4" borderId="0" xfId="0" applyFont="1" applyFill="1" applyAlignment="1">
      <alignment horizontal="center"/>
    </xf>
    <xf numFmtId="49" fontId="0" fillId="0" borderId="0" xfId="0" applyNumberFormat="1"/>
    <xf numFmtId="0" fontId="0" fillId="0" borderId="0" xfId="0" applyNumberFormat="1"/>
    <xf numFmtId="0" fontId="2" fillId="5" borderId="0" xfId="0" applyFont="1" applyFill="1"/>
    <xf numFmtId="0" fontId="0" fillId="0" borderId="0" xfId="0" quotePrefix="1"/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2">
    <cellStyle name="Input" xfId="1" builtinId="20"/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Cells Processed by Sheet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Chart!$A$1:$A$3</c:f>
              <c:strCache>
                <c:ptCount val="3"/>
                <c:pt idx="0">
                  <c:v>Sheet1.crzy</c:v>
                </c:pt>
                <c:pt idx="1">
                  <c:v>Sheet2.crzy</c:v>
                </c:pt>
                <c:pt idx="2">
                  <c:v>Sheet3.crzy</c:v>
                </c:pt>
              </c:strCache>
            </c:strRef>
          </c:cat>
          <c:val>
            <c:numRef>
              <c:f>Chart!$B$1:$B$3</c:f>
              <c:numCache>
                <c:formatCode>General</c:formatCode>
                <c:ptCount val="3"/>
                <c:pt idx="0">
                  <c:v>18</c:v>
                </c:pt>
                <c:pt idx="1">
                  <c:v>20</c:v>
                </c:pt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B3-4D2E-A175-5170A6A1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Cells Processed by Sheet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Chart!$A$1:$A$3</c:f>
              <c:strCache>
                <c:ptCount val="3"/>
                <c:pt idx="0">
                  <c:v>Sheet1.crzy</c:v>
                </c:pt>
                <c:pt idx="1">
                  <c:v>Sheet2.crzy</c:v>
                </c:pt>
                <c:pt idx="2">
                  <c:v>Sheet3.crzy</c:v>
                </c:pt>
              </c:strCache>
            </c:strRef>
          </c:cat>
          <c:val>
            <c:numRef>
              <c:f>Chart!$B$1:$B$3</c:f>
              <c:numCache>
                <c:formatCode>General</c:formatCode>
                <c:ptCount val="3"/>
                <c:pt idx="0">
                  <c:v>18</c:v>
                </c:pt>
                <c:pt idx="1">
                  <c:v>20</c:v>
                </c:pt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D5-43D8-AFAF-5798AE4D5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Cells Processed by Sheet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Chart!$A$1:$A$3</c:f>
              <c:strCache>
                <c:ptCount val="3"/>
                <c:pt idx="0">
                  <c:v>Sheet1.crzy</c:v>
                </c:pt>
                <c:pt idx="1">
                  <c:v>Sheet2.crzy</c:v>
                </c:pt>
                <c:pt idx="2">
                  <c:v>Sheet3.crzy</c:v>
                </c:pt>
              </c:strCache>
            </c:strRef>
          </c:cat>
          <c:val>
            <c:numRef>
              <c:f>Chart!$B$1:$B$3</c:f>
              <c:numCache>
                <c:formatCode>General</c:formatCode>
                <c:ptCount val="3"/>
                <c:pt idx="0">
                  <c:v>18</c:v>
                </c:pt>
                <c:pt idx="1">
                  <c:v>20</c:v>
                </c:pt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9-49AA-A020-722AB2B4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Cells Processed by Sheet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Chart!$A$1:$A$3</c:f>
              <c:strCache>
                <c:ptCount val="3"/>
                <c:pt idx="0">
                  <c:v>Sheet1.crzy</c:v>
                </c:pt>
                <c:pt idx="1">
                  <c:v>Sheet2.crzy</c:v>
                </c:pt>
                <c:pt idx="2">
                  <c:v>Sheet3.crzy</c:v>
                </c:pt>
              </c:strCache>
            </c:strRef>
          </c:cat>
          <c:val>
            <c:numRef>
              <c:f>Chart!$B$1:$B$3</c:f>
              <c:numCache>
                <c:formatCode>General</c:formatCode>
                <c:ptCount val="3"/>
                <c:pt idx="0">
                  <c:v>18</c:v>
                </c:pt>
                <c:pt idx="1">
                  <c:v>20</c:v>
                </c:pt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C-4C56-8F6E-96B568500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Cells Processed by Sheet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Chart!$A$1:$A$3</c:f>
              <c:strCache>
                <c:ptCount val="3"/>
                <c:pt idx="0">
                  <c:v>Sheet1.crzy</c:v>
                </c:pt>
                <c:pt idx="1">
                  <c:v>Sheet2.crzy</c:v>
                </c:pt>
                <c:pt idx="2">
                  <c:v>Sheet3.crzy</c:v>
                </c:pt>
              </c:strCache>
            </c:strRef>
          </c:cat>
          <c:val>
            <c:numRef>
              <c:f>Chart!$B$1:$B$3</c:f>
              <c:numCache>
                <c:formatCode>General</c:formatCode>
                <c:ptCount val="3"/>
                <c:pt idx="0">
                  <c:v>18</c:v>
                </c:pt>
                <c:pt idx="1">
                  <c:v>20</c:v>
                </c:pt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8B-4397-9AA5-7247A08E0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Cells Processed by Sheet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Chart!$A$1:$A$3</c:f>
              <c:strCache>
                <c:ptCount val="3"/>
                <c:pt idx="0">
                  <c:v>Sheet1.crzy</c:v>
                </c:pt>
                <c:pt idx="1">
                  <c:v>Sheet2.crzy</c:v>
                </c:pt>
                <c:pt idx="2">
                  <c:v>Sheet3.crzy</c:v>
                </c:pt>
              </c:strCache>
            </c:strRef>
          </c:cat>
          <c:val>
            <c:numRef>
              <c:f>Chart!$B$1:$B$3</c:f>
              <c:numCache>
                <c:formatCode>General</c:formatCode>
                <c:ptCount val="3"/>
                <c:pt idx="0">
                  <c:v>18</c:v>
                </c:pt>
                <c:pt idx="1">
                  <c:v>20</c:v>
                </c:pt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1-404D-9B48-F9F1178CA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Cells Processed by Sheet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Chart!$A$1:$A$3</c:f>
              <c:strCache>
                <c:ptCount val="3"/>
                <c:pt idx="0">
                  <c:v>Sheet1.crzy</c:v>
                </c:pt>
                <c:pt idx="1">
                  <c:v>Sheet2.crzy</c:v>
                </c:pt>
                <c:pt idx="2">
                  <c:v>Sheet3.crzy</c:v>
                </c:pt>
              </c:strCache>
            </c:strRef>
          </c:cat>
          <c:val>
            <c:numRef>
              <c:f>Chart!$B$1:$B$3</c:f>
              <c:numCache>
                <c:formatCode>General</c:formatCode>
                <c:ptCount val="3"/>
                <c:pt idx="0">
                  <c:v>18</c:v>
                </c:pt>
                <c:pt idx="1">
                  <c:v>20</c:v>
                </c:pt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30-4A51-8775-BDB0CC327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161925</xdr:colOff>
      <xdr:row>26</xdr:row>
      <xdr:rowOff>38100</xdr:rowOff>
    </xdr:from>
    <xdr:to>
      <xdr:col>12</xdr:col>
      <xdr:colOff>466725</xdr:colOff>
      <xdr:row>31</xdr:row>
      <xdr:rowOff>0</xdr:rowOff>
    </xdr:to>
    <xdr:pic>
      <xdr:nvPicPr>
        <xdr:cNvPr id="3" name="Graphic 2" descr="Lock">
          <a:extLst>
            <a:ext uri="{FF2B5EF4-FFF2-40B4-BE49-F238E27FC236}">
              <a16:creationId xmlns:a16="http://schemas.microsoft.com/office/drawing/2014/main" id="{0767D8F4-79B6-44E3-AFFC-D0469B280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67525" y="49911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559575</xdr:colOff>
      <xdr:row>15</xdr:row>
      <xdr:rowOff>178575</xdr:rowOff>
    </xdr:from>
    <xdr:to>
      <xdr:col>14</xdr:col>
      <xdr:colOff>254775</xdr:colOff>
      <xdr:row>20</xdr:row>
      <xdr:rowOff>140475</xdr:rowOff>
    </xdr:to>
    <xdr:pic>
      <xdr:nvPicPr>
        <xdr:cNvPr id="5" name="Graphic 4" descr="Arrow Rotate right">
          <a:extLst>
            <a:ext uri="{FF2B5EF4-FFF2-40B4-BE49-F238E27FC236}">
              <a16:creationId xmlns:a16="http://schemas.microsoft.com/office/drawing/2014/main" id="{DFC1F686-D971-496D-8B16-FF0D9490E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874775" y="3036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223800</xdr:colOff>
      <xdr:row>9</xdr:row>
      <xdr:rowOff>157125</xdr:rowOff>
    </xdr:from>
    <xdr:to>
      <xdr:col>12</xdr:col>
      <xdr:colOff>528600</xdr:colOff>
      <xdr:row>14</xdr:row>
      <xdr:rowOff>119025</xdr:rowOff>
    </xdr:to>
    <xdr:pic>
      <xdr:nvPicPr>
        <xdr:cNvPr id="7" name="Graphic 6" descr="Arrow Slight curve">
          <a:extLst>
            <a:ext uri="{FF2B5EF4-FFF2-40B4-BE49-F238E27FC236}">
              <a16:creationId xmlns:a16="http://schemas.microsoft.com/office/drawing/2014/main" id="{D8EC9F4B-C2AF-4F71-A6BB-98B5361AA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5400000">
          <a:off x="6929400" y="18716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392850</xdr:colOff>
      <xdr:row>20</xdr:row>
      <xdr:rowOff>164250</xdr:rowOff>
    </xdr:from>
    <xdr:to>
      <xdr:col>15</xdr:col>
      <xdr:colOff>88050</xdr:colOff>
      <xdr:row>25</xdr:row>
      <xdr:rowOff>126150</xdr:rowOff>
    </xdr:to>
    <xdr:pic>
      <xdr:nvPicPr>
        <xdr:cNvPr id="9" name="Graphic 8" descr="Document">
          <a:extLst>
            <a:ext uri="{FF2B5EF4-FFF2-40B4-BE49-F238E27FC236}">
              <a16:creationId xmlns:a16="http://schemas.microsoft.com/office/drawing/2014/main" id="{3F81738B-67E0-4DE1-B1DE-781E01E49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17650" y="39742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190425</xdr:colOff>
      <xdr:row>15</xdr:row>
      <xdr:rowOff>104700</xdr:rowOff>
    </xdr:from>
    <xdr:to>
      <xdr:col>12</xdr:col>
      <xdr:colOff>495225</xdr:colOff>
      <xdr:row>20</xdr:row>
      <xdr:rowOff>66600</xdr:rowOff>
    </xdr:to>
    <xdr:pic>
      <xdr:nvPicPr>
        <xdr:cNvPr id="11" name="Graphic 10" descr="Gears">
          <a:extLst>
            <a:ext uri="{FF2B5EF4-FFF2-40B4-BE49-F238E27FC236}">
              <a16:creationId xmlns:a16="http://schemas.microsoft.com/office/drawing/2014/main" id="{B945984E-6A83-4419-A8AB-544DB6DCD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96025" y="2962200"/>
          <a:ext cx="914400" cy="914400"/>
        </a:xfrm>
        <a:prstGeom prst="rect">
          <a:avLst/>
        </a:prstGeom>
      </xdr:spPr>
    </xdr:pic>
    <xdr:clientData/>
  </xdr:twoCellAnchor>
  <xdr:twoCellAnchor>
    <xdr:from>
      <xdr:col>0</xdr:col>
      <xdr:colOff>590550</xdr:colOff>
      <xdr:row>1</xdr:row>
      <xdr:rowOff>28572</xdr:rowOff>
    </xdr:from>
    <xdr:to>
      <xdr:col>7</xdr:col>
      <xdr:colOff>485775</xdr:colOff>
      <xdr:row>51</xdr:row>
      <xdr:rowOff>95250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B903EB6-09AE-4325-A33D-477ECC015D7C}"/>
            </a:ext>
          </a:extLst>
        </xdr:cNvPr>
        <xdr:cNvSpPr txBox="1"/>
      </xdr:nvSpPr>
      <xdr:spPr>
        <a:xfrm>
          <a:off x="590550" y="219072"/>
          <a:ext cx="4162425" cy="9591678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Andrei</a:t>
          </a:r>
          <a:r>
            <a:rPr lang="en-US" sz="1400" b="1" baseline="0"/>
            <a:t> Secara's Cipher Encryption &amp; Decryption Application</a:t>
          </a:r>
        </a:p>
        <a:p>
          <a:pPr algn="ctr"/>
          <a:endParaRPr lang="en-US" sz="1100" b="1" baseline="0"/>
        </a:p>
        <a:p>
          <a:pPr algn="l">
            <a:lnSpc>
              <a:spcPct val="150000"/>
            </a:lnSpc>
          </a:pPr>
          <a:r>
            <a:rPr lang="en-US" sz="1100" b="0" baseline="0"/>
            <a:t>This program uses a cipher encryption method to encrypt and export as .crzy file extension every workbook of the users choosing. </a:t>
          </a:r>
        </a:p>
        <a:p>
          <a:pPr algn="l"/>
          <a:endParaRPr lang="en-US" sz="1100" b="0" baseline="0"/>
        </a:p>
        <a:p>
          <a:pPr algn="ctr"/>
          <a:r>
            <a:rPr lang="en-US" sz="1100" b="1" baseline="0"/>
            <a:t>The steps to use the program to ENCRYPT files are as follows:</a:t>
          </a:r>
        </a:p>
        <a:p>
          <a:pPr algn="l"/>
          <a:r>
            <a:rPr lang="en-US" sz="1100" b="0" baseline="0"/>
            <a:t>1. On the 'Cipher Tables' worksheet, choose an appropriate translation factor. This will determine how the files are encrypted.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 aware!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translation factor of 0 will result in no meaningful encryption.</a:t>
          </a:r>
          <a:endParaRPr lang="en-US" sz="1100" b="0" baseline="0"/>
        </a:p>
        <a:p>
          <a:pPr algn="l">
            <a:lnSpc>
              <a:spcPct val="150000"/>
            </a:lnSpc>
          </a:pPr>
          <a:r>
            <a:rPr lang="en-US" sz="1100" b="0" baseline="0"/>
            <a:t>2. Press the lock above "</a:t>
          </a:r>
          <a:r>
            <a:rPr lang="en-US" sz="1100" b="1" baseline="0"/>
            <a:t>ENCRYPT FILE</a:t>
          </a:r>
          <a:r>
            <a:rPr lang="en-US" sz="1100" b="0" baseline="0"/>
            <a:t>"</a:t>
          </a:r>
        </a:p>
        <a:p>
          <a:pPr algn="l">
            <a:lnSpc>
              <a:spcPct val="150000"/>
            </a:lnSpc>
          </a:pPr>
          <a:r>
            <a:rPr lang="en-US" sz="1100" b="0" baseline="0"/>
            <a:t>3. Enter the exact directory of the file you wish to </a:t>
          </a:r>
          <a:r>
            <a:rPr lang="en-US" sz="1100" b="1" baseline="0"/>
            <a:t>encrypt</a:t>
          </a:r>
        </a:p>
        <a:p>
          <a:pPr algn="l">
            <a:lnSpc>
              <a:spcPct val="150000"/>
            </a:lnSpc>
          </a:pPr>
          <a:r>
            <a:rPr lang="en-US" sz="1100" b="0" baseline="0"/>
            <a:t>4. Enter the directory (</a:t>
          </a:r>
          <a:r>
            <a:rPr lang="en-US" sz="1100" b="1" baseline="0"/>
            <a:t>folder location</a:t>
          </a:r>
          <a:r>
            <a:rPr lang="en-US" sz="1100" b="0" baseline="0"/>
            <a:t>) where you would like the program to output the resulting .crzy files</a:t>
          </a:r>
        </a:p>
        <a:p>
          <a:pPr algn="l">
            <a:lnSpc>
              <a:spcPct val="150000"/>
            </a:lnSpc>
          </a:pPr>
          <a:r>
            <a:rPr lang="en-US" sz="1100" b="0" baseline="0"/>
            <a:t>5. Done! Your excel file is now encrypted and outputted where you specified.</a:t>
          </a:r>
        </a:p>
        <a:p>
          <a:pPr algn="l">
            <a:lnSpc>
              <a:spcPct val="150000"/>
            </a:lnSpc>
          </a:pPr>
          <a:endParaRPr lang="en-US" sz="1100" b="0" baseline="0"/>
        </a:p>
        <a:p>
          <a:pPr algn="ctr">
            <a:lnSpc>
              <a:spcPct val="150000"/>
            </a:lnSpc>
          </a:pPr>
          <a:r>
            <a:rPr lang="en-US" sz="1100" b="1" baseline="0"/>
            <a:t>A sample document titled "sample.xlsx" has been given to you to test out the encryption.</a:t>
          </a:r>
        </a:p>
        <a:p>
          <a:pPr algn="l">
            <a:lnSpc>
              <a:spcPct val="150000"/>
            </a:lnSpc>
          </a:pPr>
          <a:endParaRPr lang="en-US" sz="1100" b="0" baseline="0"/>
        </a:p>
        <a:p>
          <a:pPr algn="l">
            <a:lnSpc>
              <a:spcPct val="150000"/>
            </a:lnSpc>
          </a:pPr>
          <a:r>
            <a:rPr lang="en-US" sz="1100" b="0" baseline="0"/>
            <a:t>The application will then encrypt your file to the resulting files with the same name as your workbook's worksheets.</a:t>
          </a:r>
        </a:p>
        <a:p>
          <a:pPr algn="l">
            <a:lnSpc>
              <a:spcPct val="150000"/>
            </a:lnSpc>
          </a:pPr>
          <a:endParaRPr lang="en-US" sz="1100" b="0" baseline="0"/>
        </a:p>
        <a:p>
          <a:pPr marL="0" marR="0" lvl="0" indent="0" algn="ctr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steps to use the program to DECRYPT files are as follows:</a:t>
          </a: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1. Make sure the translation factor on the 'Cipher Tables' worksheet is the same as when</a:t>
          </a:r>
          <a:r>
            <a:rPr lang="en-US" baseline="0">
              <a:effectLst/>
            </a:rPr>
            <a:t> the files were encrypted. If it is not, the files will not decrypt properly.</a:t>
          </a:r>
          <a:endParaRPr lang="en-US">
            <a:effectLst/>
          </a:endParaRPr>
        </a:p>
        <a:p>
          <a:pPr algn="l">
            <a:lnSpc>
              <a:spcPct val="150000"/>
            </a:lnSpc>
          </a:pPr>
          <a:r>
            <a:rPr lang="en-US" sz="1100" b="0" baseline="0"/>
            <a:t>2. Press the lock above "</a:t>
          </a:r>
          <a:r>
            <a:rPr lang="en-US" sz="1100" b="1" baseline="0"/>
            <a:t>DECRYPT FILE"</a:t>
          </a:r>
        </a:p>
        <a:p>
          <a:pPr algn="l">
            <a:lnSpc>
              <a:spcPct val="150000"/>
            </a:lnSpc>
          </a:pPr>
          <a:r>
            <a:rPr lang="en-US" sz="1100" b="0" baseline="0"/>
            <a:t>3. Enter the exact directory (</a:t>
          </a:r>
          <a:r>
            <a:rPr lang="en-US" sz="1100" b="1" baseline="0"/>
            <a:t>folder location) </a:t>
          </a:r>
          <a:r>
            <a:rPr lang="en-US" sz="1100" b="0" baseline="0"/>
            <a:t>of where you would like your decrypted .xlsx file.</a:t>
          </a:r>
        </a:p>
        <a:p>
          <a:pPr algn="l">
            <a:lnSpc>
              <a:spcPct val="150000"/>
            </a:lnSpc>
          </a:pPr>
          <a:r>
            <a:rPr lang="en-US" sz="1100" b="0" baseline="0"/>
            <a:t>4. Enter the desired output file name. EG: "output.xlsx"</a:t>
          </a:r>
        </a:p>
        <a:p>
          <a:pPr algn="l">
            <a:lnSpc>
              <a:spcPct val="150000"/>
            </a:lnSpc>
          </a:pPr>
          <a:r>
            <a:rPr lang="en-US" sz="1100" b="0" baseline="0"/>
            <a:t>5. Enter how many .crzy files you would like to decrypt into the outputted workbook.</a:t>
          </a:r>
          <a:endParaRPr lang="en-US" sz="1100" b="1" baseline="0"/>
        </a:p>
        <a:p>
          <a:pPr algn="l">
            <a:lnSpc>
              <a:spcPct val="150000"/>
            </a:lnSpc>
          </a:pPr>
          <a:r>
            <a:rPr lang="en-US" sz="1100" b="0" baseline="0"/>
            <a:t>6. Enter the full file directories of all the .crzy files you wish to decrypt.</a:t>
          </a:r>
        </a:p>
        <a:p>
          <a:pPr algn="l">
            <a:lnSpc>
              <a:spcPct val="150000"/>
            </a:lnSpc>
          </a:pPr>
          <a:r>
            <a:rPr lang="en-US" sz="1100" b="0" baseline="0"/>
            <a:t>7. Done! Your decrypted file will be where you specified.</a:t>
          </a:r>
        </a:p>
        <a:p>
          <a:pPr algn="l">
            <a:lnSpc>
              <a:spcPct val="150000"/>
            </a:lnSpc>
          </a:pPr>
          <a:endParaRPr lang="en-US" sz="1100" b="0" baseline="0"/>
        </a:p>
        <a:p>
          <a:pPr algn="l">
            <a:lnSpc>
              <a:spcPct val="150000"/>
            </a:lnSpc>
          </a:pPr>
          <a:r>
            <a:rPr lang="en-US" sz="1100" b="0" baseline="0"/>
            <a:t>The application will then decrypt your file to a .csv workbook with the same name as your .crzy file.</a:t>
          </a:r>
        </a:p>
      </xdr:txBody>
    </xdr:sp>
    <xdr:clientData/>
  </xdr:twoCellAnchor>
  <xdr:twoCellAnchor editAs="oneCell">
    <xdr:from>
      <xdr:col>9</xdr:col>
      <xdr:colOff>476250</xdr:colOff>
      <xdr:row>16</xdr:row>
      <xdr:rowOff>7125</xdr:rowOff>
    </xdr:from>
    <xdr:to>
      <xdr:col>11</xdr:col>
      <xdr:colOff>92850</xdr:colOff>
      <xdr:row>20</xdr:row>
      <xdr:rowOff>159525</xdr:rowOff>
    </xdr:to>
    <xdr:pic>
      <xdr:nvPicPr>
        <xdr:cNvPr id="13" name="Graphic 12" descr="Arrow Rotate right">
          <a:extLst>
            <a:ext uri="{FF2B5EF4-FFF2-40B4-BE49-F238E27FC236}">
              <a16:creationId xmlns:a16="http://schemas.microsoft.com/office/drawing/2014/main" id="{1E1731B1-B205-4073-B9E2-226084036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flipH="1">
          <a:off x="5962650" y="3055125"/>
          <a:ext cx="8358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157125</xdr:colOff>
      <xdr:row>20</xdr:row>
      <xdr:rowOff>138075</xdr:rowOff>
    </xdr:from>
    <xdr:to>
      <xdr:col>12</xdr:col>
      <xdr:colOff>461925</xdr:colOff>
      <xdr:row>25</xdr:row>
      <xdr:rowOff>99975</xdr:rowOff>
    </xdr:to>
    <xdr:pic>
      <xdr:nvPicPr>
        <xdr:cNvPr id="14" name="Graphic 13" descr="Arrow Slight curve">
          <a:extLst>
            <a:ext uri="{FF2B5EF4-FFF2-40B4-BE49-F238E27FC236}">
              <a16:creationId xmlns:a16="http://schemas.microsoft.com/office/drawing/2014/main" id="{C06369BC-FEC6-42B6-ADCE-0EC376498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5400000">
          <a:off x="6862725" y="3948075"/>
          <a:ext cx="914400" cy="914400"/>
        </a:xfrm>
        <a:prstGeom prst="rect">
          <a:avLst/>
        </a:prstGeom>
      </xdr:spPr>
    </xdr:pic>
    <xdr:clientData/>
  </xdr:twoCellAnchor>
  <xdr:twoCellAnchor>
    <xdr:from>
      <xdr:col>10</xdr:col>
      <xdr:colOff>542925</xdr:colOff>
      <xdr:row>3</xdr:row>
      <xdr:rowOff>9526</xdr:rowOff>
    </xdr:from>
    <xdr:to>
      <xdr:col>13</xdr:col>
      <xdr:colOff>295275</xdr:colOff>
      <xdr:row>4</xdr:row>
      <xdr:rowOff>85726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6B3A99CD-CC46-47E2-99B6-715434CC79E3}"/>
            </a:ext>
          </a:extLst>
        </xdr:cNvPr>
        <xdr:cNvSpPr txBox="1"/>
      </xdr:nvSpPr>
      <xdr:spPr>
        <a:xfrm>
          <a:off x="6638925" y="581026"/>
          <a:ext cx="1581150" cy="2667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EXCEL FILE TO ENCRYPT</a:t>
          </a:r>
        </a:p>
      </xdr:txBody>
    </xdr:sp>
    <xdr:clientData/>
  </xdr:twoCellAnchor>
  <xdr:twoCellAnchor editAs="oneCell">
    <xdr:from>
      <xdr:col>9</xdr:col>
      <xdr:colOff>104775</xdr:colOff>
      <xdr:row>21</xdr:row>
      <xdr:rowOff>19050</xdr:rowOff>
    </xdr:from>
    <xdr:to>
      <xdr:col>10</xdr:col>
      <xdr:colOff>409575</xdr:colOff>
      <xdr:row>25</xdr:row>
      <xdr:rowOff>171450</xdr:rowOff>
    </xdr:to>
    <xdr:pic>
      <xdr:nvPicPr>
        <xdr:cNvPr id="18" name="Graphic 17" descr="Database">
          <a:extLst>
            <a:ext uri="{FF2B5EF4-FFF2-40B4-BE49-F238E27FC236}">
              <a16:creationId xmlns:a16="http://schemas.microsoft.com/office/drawing/2014/main" id="{1896C37E-77B5-4D02-AF9E-89D661C28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91175" y="40195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257175</xdr:colOff>
      <xdr:row>4</xdr:row>
      <xdr:rowOff>95250</xdr:rowOff>
    </xdr:from>
    <xdr:to>
      <xdr:col>12</xdr:col>
      <xdr:colOff>561975</xdr:colOff>
      <xdr:row>9</xdr:row>
      <xdr:rowOff>57150</xdr:rowOff>
    </xdr:to>
    <xdr:pic>
      <xdr:nvPicPr>
        <xdr:cNvPr id="22" name="Graphic 21" descr="Folder">
          <a:extLst>
            <a:ext uri="{FF2B5EF4-FFF2-40B4-BE49-F238E27FC236}">
              <a16:creationId xmlns:a16="http://schemas.microsoft.com/office/drawing/2014/main" id="{97E6D7E4-7FC0-43FB-8158-7B28AEDAA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62775" y="857250"/>
          <a:ext cx="914400" cy="914400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26</xdr:row>
      <xdr:rowOff>19051</xdr:rowOff>
    </xdr:from>
    <xdr:to>
      <xdr:col>15</xdr:col>
      <xdr:colOff>523875</xdr:colOff>
      <xdr:row>27</xdr:row>
      <xdr:rowOff>95251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FA0EF69-1ABD-4D08-BB67-226B29B335DD}"/>
            </a:ext>
          </a:extLst>
        </xdr:cNvPr>
        <xdr:cNvSpPr txBox="1"/>
      </xdr:nvSpPr>
      <xdr:spPr>
        <a:xfrm>
          <a:off x="8086725" y="4972051"/>
          <a:ext cx="1581150" cy="2667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WORD LOG OF OUTPUT</a:t>
          </a:r>
        </a:p>
      </xdr:txBody>
    </xdr:sp>
    <xdr:clientData/>
  </xdr:twoCellAnchor>
  <xdr:twoCellAnchor>
    <xdr:from>
      <xdr:col>11</xdr:col>
      <xdr:colOff>95251</xdr:colOff>
      <xdr:row>31</xdr:row>
      <xdr:rowOff>142876</xdr:rowOff>
    </xdr:from>
    <xdr:to>
      <xdr:col>13</xdr:col>
      <xdr:colOff>19051</xdr:colOff>
      <xdr:row>33</xdr:row>
      <xdr:rowOff>28576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4FFF70A2-4CD8-4A83-BFA4-08F2FBB50724}"/>
            </a:ext>
          </a:extLst>
        </xdr:cNvPr>
        <xdr:cNvSpPr txBox="1"/>
      </xdr:nvSpPr>
      <xdr:spPr>
        <a:xfrm>
          <a:off x="6800851" y="6048376"/>
          <a:ext cx="1143000" cy="2667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ENCRYPTED FILE</a:t>
          </a:r>
        </a:p>
      </xdr:txBody>
    </xdr:sp>
    <xdr:clientData/>
  </xdr:twoCellAnchor>
  <xdr:twoCellAnchor>
    <xdr:from>
      <xdr:col>8</xdr:col>
      <xdr:colOff>523875</xdr:colOff>
      <xdr:row>26</xdr:row>
      <xdr:rowOff>47626</xdr:rowOff>
    </xdr:from>
    <xdr:to>
      <xdr:col>10</xdr:col>
      <xdr:colOff>428625</xdr:colOff>
      <xdr:row>27</xdr:row>
      <xdr:rowOff>123826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CC656D00-BEEE-4481-A868-D02E97F04E42}"/>
            </a:ext>
          </a:extLst>
        </xdr:cNvPr>
        <xdr:cNvSpPr txBox="1"/>
      </xdr:nvSpPr>
      <xdr:spPr>
        <a:xfrm>
          <a:off x="5400675" y="5000626"/>
          <a:ext cx="1123950" cy="2667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DATABASE</a:t>
          </a:r>
          <a:r>
            <a:rPr lang="en-US" sz="1100" b="1" baseline="0"/>
            <a:t> LOG</a:t>
          </a:r>
          <a:endParaRPr lang="en-US" sz="1100" b="1"/>
        </a:p>
      </xdr:txBody>
    </xdr:sp>
    <xdr:clientData/>
  </xdr:twoCellAnchor>
  <xdr:twoCellAnchor>
    <xdr:from>
      <xdr:col>17</xdr:col>
      <xdr:colOff>381000</xdr:colOff>
      <xdr:row>1</xdr:row>
      <xdr:rowOff>19049</xdr:rowOff>
    </xdr:from>
    <xdr:to>
      <xdr:col>26</xdr:col>
      <xdr:colOff>323850</xdr:colOff>
      <xdr:row>7</xdr:row>
      <xdr:rowOff>180974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2CB7F3D-EF6D-4716-8372-4B13840EEC59}"/>
            </a:ext>
          </a:extLst>
        </xdr:cNvPr>
        <xdr:cNvSpPr txBox="1"/>
      </xdr:nvSpPr>
      <xdr:spPr>
        <a:xfrm>
          <a:off x="10744200" y="209549"/>
          <a:ext cx="5429250" cy="130492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/>
            <a:t>!!!IMPORTANT!!!</a:t>
          </a:r>
        </a:p>
        <a:p>
          <a:pPr algn="ctr"/>
          <a:endParaRPr lang="en-US" sz="1600" b="1"/>
        </a:p>
        <a:p>
          <a:pPr algn="ctr"/>
          <a:r>
            <a:rPr lang="en-US" sz="1100" b="0"/>
            <a:t>In</a:t>
          </a:r>
          <a:r>
            <a:rPr lang="en-US" sz="1100" b="0" baseline="0"/>
            <a:t> order for this application to run correctly, you must enable a </a:t>
          </a:r>
          <a:r>
            <a:rPr lang="en-US" sz="1100" b="1" baseline="0"/>
            <a:t>reference </a:t>
          </a:r>
          <a:r>
            <a:rPr lang="en-US" sz="1100" b="0" baseline="0"/>
            <a:t>to the VB script run-time, Activex, and word library. This is so VBA can use the File System Object and access databases &amp; word files.  </a:t>
          </a:r>
        </a:p>
        <a:p>
          <a:pPr algn="ctr"/>
          <a:r>
            <a:rPr lang="en-US" sz="1100" b="0" baseline="0"/>
            <a:t>This can be done in the following steps:</a:t>
          </a:r>
          <a:endParaRPr lang="en-US" sz="1100" b="0"/>
        </a:p>
      </xdr:txBody>
    </xdr:sp>
    <xdr:clientData/>
  </xdr:twoCellAnchor>
  <xdr:twoCellAnchor editAs="oneCell">
    <xdr:from>
      <xdr:col>18</xdr:col>
      <xdr:colOff>514350</xdr:colOff>
      <xdr:row>25</xdr:row>
      <xdr:rowOff>19050</xdr:rowOff>
    </xdr:from>
    <xdr:to>
      <xdr:col>20</xdr:col>
      <xdr:colOff>209550</xdr:colOff>
      <xdr:row>29</xdr:row>
      <xdr:rowOff>171450</xdr:rowOff>
    </xdr:to>
    <xdr:pic macro="[0]!ecrypt_main">
      <xdr:nvPicPr>
        <xdr:cNvPr id="8" name="Graphic 7" descr="Lock">
          <a:extLst>
            <a:ext uri="{FF2B5EF4-FFF2-40B4-BE49-F238E27FC236}">
              <a16:creationId xmlns:a16="http://schemas.microsoft.com/office/drawing/2014/main" id="{35F131E0-26A1-4823-8597-79E23EAAF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87150" y="47815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311925</xdr:colOff>
      <xdr:row>24</xdr:row>
      <xdr:rowOff>159525</xdr:rowOff>
    </xdr:from>
    <xdr:to>
      <xdr:col>25</xdr:col>
      <xdr:colOff>7125</xdr:colOff>
      <xdr:row>29</xdr:row>
      <xdr:rowOff>121425</xdr:rowOff>
    </xdr:to>
    <xdr:pic macro="[0]!Decrypt_main.decrypt_main">
      <xdr:nvPicPr>
        <xdr:cNvPr id="16" name="Graphic 15" descr="Heart lock">
          <a:extLst>
            <a:ext uri="{FF2B5EF4-FFF2-40B4-BE49-F238E27FC236}">
              <a16:creationId xmlns:a16="http://schemas.microsoft.com/office/drawing/2014/main" id="{B3C22C94-9ABD-4601-BC8A-974393921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4332725" y="4731525"/>
          <a:ext cx="914400" cy="914400"/>
        </a:xfrm>
        <a:prstGeom prst="rect">
          <a:avLst/>
        </a:prstGeom>
      </xdr:spPr>
    </xdr:pic>
    <xdr:clientData/>
  </xdr:twoCellAnchor>
  <xdr:twoCellAnchor>
    <xdr:from>
      <xdr:col>18</xdr:col>
      <xdr:colOff>504825</xdr:colOff>
      <xdr:row>29</xdr:row>
      <xdr:rowOff>142876</xdr:rowOff>
    </xdr:from>
    <xdr:to>
      <xdr:col>20</xdr:col>
      <xdr:colOff>266700</xdr:colOff>
      <xdr:row>31</xdr:row>
      <xdr:rowOff>9526</xdr:rowOff>
    </xdr:to>
    <xdr:sp macro="[0]!ecrypt_main" textlink="">
      <xdr:nvSpPr>
        <xdr:cNvPr id="17" name="TextBox 16">
          <a:extLst>
            <a:ext uri="{FF2B5EF4-FFF2-40B4-BE49-F238E27FC236}">
              <a16:creationId xmlns:a16="http://schemas.microsoft.com/office/drawing/2014/main" id="{F6C7BE9B-F482-40E3-A731-893DB4E5876E}"/>
            </a:ext>
          </a:extLst>
        </xdr:cNvPr>
        <xdr:cNvSpPr txBox="1"/>
      </xdr:nvSpPr>
      <xdr:spPr>
        <a:xfrm>
          <a:off x="11477625" y="5667376"/>
          <a:ext cx="981075" cy="247650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ENCRYPT FILE</a:t>
          </a:r>
        </a:p>
      </xdr:txBody>
    </xdr:sp>
    <xdr:clientData/>
  </xdr:twoCellAnchor>
  <xdr:twoCellAnchor>
    <xdr:from>
      <xdr:col>23</xdr:col>
      <xdr:colOff>266700</xdr:colOff>
      <xdr:row>29</xdr:row>
      <xdr:rowOff>123826</xdr:rowOff>
    </xdr:from>
    <xdr:to>
      <xdr:col>25</xdr:col>
      <xdr:colOff>28575</xdr:colOff>
      <xdr:row>30</xdr:row>
      <xdr:rowOff>180976</xdr:rowOff>
    </xdr:to>
    <xdr:sp macro="[0]!Decrypt_main.decrypt_main" textlink="">
      <xdr:nvSpPr>
        <xdr:cNvPr id="27" name="TextBox 26">
          <a:extLst>
            <a:ext uri="{FF2B5EF4-FFF2-40B4-BE49-F238E27FC236}">
              <a16:creationId xmlns:a16="http://schemas.microsoft.com/office/drawing/2014/main" id="{119A0143-C6DF-401F-AB9A-295F846D3BBD}"/>
            </a:ext>
          </a:extLst>
        </xdr:cNvPr>
        <xdr:cNvSpPr txBox="1"/>
      </xdr:nvSpPr>
      <xdr:spPr>
        <a:xfrm>
          <a:off x="14287500" y="5648326"/>
          <a:ext cx="981075" cy="24765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DECRYPT FILE</a:t>
          </a:r>
        </a:p>
      </xdr:txBody>
    </xdr:sp>
    <xdr:clientData/>
  </xdr:twoCellAnchor>
  <xdr:oneCellAnchor>
    <xdr:from>
      <xdr:col>17</xdr:col>
      <xdr:colOff>361951</xdr:colOff>
      <xdr:row>8</xdr:row>
      <xdr:rowOff>9525</xdr:rowOff>
    </xdr:from>
    <xdr:ext cx="5391150" cy="279974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0A51655-C694-48AD-94CC-CEBD23C25733}"/>
            </a:ext>
          </a:extLst>
        </xdr:cNvPr>
        <xdr:cNvSpPr txBox="1"/>
      </xdr:nvSpPr>
      <xdr:spPr>
        <a:xfrm>
          <a:off x="10725151" y="1533525"/>
          <a:ext cx="5391150" cy="2799741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>
            <a:lnSpc>
              <a:spcPct val="200000"/>
            </a:lnSpc>
          </a:pPr>
          <a:r>
            <a:rPr lang="en-US" sz="1100"/>
            <a:t>1. Open the</a:t>
          </a:r>
          <a:r>
            <a:rPr lang="en-US" sz="1100" baseline="0"/>
            <a:t> VBA Editor</a:t>
          </a:r>
          <a:endParaRPr lang="en-US" sz="1100"/>
        </a:p>
        <a:p>
          <a:pPr>
            <a:lnSpc>
              <a:spcPct val="200000"/>
            </a:lnSpc>
          </a:pPr>
          <a:r>
            <a:rPr lang="en-US" sz="1100"/>
            <a:t>2.</a:t>
          </a:r>
          <a:r>
            <a:rPr lang="en-US" sz="1100" baseline="0"/>
            <a:t> Select Tools &gt; References from the drop-down menu</a:t>
          </a:r>
        </a:p>
        <a:p>
          <a:pPr>
            <a:lnSpc>
              <a:spcPct val="200000"/>
            </a:lnSpc>
          </a:pPr>
          <a:r>
            <a:rPr lang="en-US" sz="1100" baseline="0"/>
            <a:t>3. A listbox of available references will be displayed</a:t>
          </a:r>
        </a:p>
        <a:p>
          <a:pPr>
            <a:lnSpc>
              <a:spcPct val="200000"/>
            </a:lnSpc>
          </a:pPr>
          <a:r>
            <a:rPr lang="en-US" sz="1100" baseline="0"/>
            <a:t>4. Tick the check-box next to </a:t>
          </a:r>
          <a:r>
            <a:rPr lang="en-US" sz="1100" b="1" baseline="0"/>
            <a:t>'Microsoft Scripting Runtime</a:t>
          </a:r>
          <a:r>
            <a:rPr lang="en-US" sz="1100" baseline="0"/>
            <a:t>'</a:t>
          </a:r>
        </a:p>
        <a:p>
          <a:pPr>
            <a:lnSpc>
              <a:spcPct val="200000"/>
            </a:lnSpc>
          </a:pPr>
          <a:r>
            <a:rPr lang="en-US" sz="1100" baseline="0"/>
            <a:t>5. Tick the check-box next to </a:t>
          </a:r>
          <a:r>
            <a:rPr lang="en-US" sz="1100" b="1" baseline="0"/>
            <a:t>'Microsoft ActiveX Data Objects Library</a:t>
          </a:r>
          <a:r>
            <a:rPr lang="en-US" sz="1100" baseline="0"/>
            <a:t>' Select the latest version installed on your PC</a:t>
          </a:r>
        </a:p>
        <a:p>
          <a:pPr>
            <a:lnSpc>
              <a:spcPct val="200000"/>
            </a:lnSpc>
          </a:pPr>
          <a:r>
            <a:rPr lang="en-US" sz="1100" baseline="0"/>
            <a:t>6. Tick the check-box next to '</a:t>
          </a:r>
          <a:r>
            <a:rPr lang="en-US" sz="1100" b="1" baseline="0"/>
            <a:t>Microsoft Word xx.x Object Library'</a:t>
          </a:r>
          <a:r>
            <a:rPr lang="en-US" sz="1100" b="0" baseline="0"/>
            <a:t>. Select the latest version.</a:t>
          </a:r>
          <a:endParaRPr lang="en-US" sz="1100" baseline="0"/>
        </a:p>
        <a:p>
          <a:pPr>
            <a:lnSpc>
              <a:spcPct val="200000"/>
            </a:lnSpc>
          </a:pPr>
          <a:r>
            <a:rPr lang="en-US" sz="1100" baseline="0"/>
            <a:t>7. Click on the OK button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8542AC-52E5-4AC8-BA75-8A14A20C1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28575</xdr:colOff>
      <xdr:row>11</xdr:row>
      <xdr:rowOff>166687</xdr:rowOff>
    </xdr:from>
    <xdr:to>
      <xdr:col>18</xdr:col>
      <xdr:colOff>333375</xdr:colOff>
      <xdr:row>26</xdr:row>
      <xdr:rowOff>52387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A9E85A6E-C0AC-482D-ACFD-4EAB1ECB95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28575</xdr:colOff>
      <xdr:row>11</xdr:row>
      <xdr:rowOff>166687</xdr:rowOff>
    </xdr:from>
    <xdr:to>
      <xdr:col>18</xdr:col>
      <xdr:colOff>333375</xdr:colOff>
      <xdr:row>26</xdr:row>
      <xdr:rowOff>52387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6167FCA-FD32-4977-A08A-E1D51273B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257175</xdr:colOff>
      <xdr:row>7</xdr:row>
      <xdr:rowOff>61912</xdr:rowOff>
    </xdr:from>
    <xdr:to>
      <xdr:col>12</xdr:col>
      <xdr:colOff>561975</xdr:colOff>
      <xdr:row>21</xdr:row>
      <xdr:rowOff>138112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B623D8AD-9E2A-4ECA-B39B-AFC565E74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3C04A64-9EBE-474C-B0AD-F77B894C4C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F1A6FEC0-A416-4C08-8D9F-EAB3BC2680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2936858C-2599-49DA-8C5E-F1CAD90EF2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82AA78-C4DE-442C-83B0-6C736FA96F4D}" name="Table1" displayName="Table1" ref="B6:D96" totalsRowShown="0" headerRowDxfId="4">
  <autoFilter ref="B6:D96" xr:uid="{A2CCB9CD-AC5F-4FC3-9444-1D80B8C1CF3D}"/>
  <tableColumns count="3">
    <tableColumn id="1" xr3:uid="{F40388EE-C2B6-48DF-A979-853A7FEEB877}" name="Numerics" dataDxfId="3"/>
    <tableColumn id="2" xr3:uid="{C7B174FC-7E98-43D0-9564-D72EA12D797F}" name="ASCII"/>
    <tableColumn id="3" xr3:uid="{8684F604-2418-482D-B29A-A7DA27AB7679}" name="Translated Numeric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553231-4257-4031-8555-B3CF58ED5910}" name="Table13" displayName="Table13" ref="H6:J96" totalsRowShown="0" headerRowDxfId="2">
  <autoFilter ref="H6:J96" xr:uid="{57B77CE4-7AA6-4BBE-A2F7-6E16377390B0}"/>
  <tableColumns count="3">
    <tableColumn id="1" xr3:uid="{BB95A732-2B7B-4351-A435-B00F2F1C2010}" name="Translated Numerics" dataDxfId="1">
      <calculatedColumnFormula>Table1[[#This Row],[Translated Numerics]]</calculatedColumnFormula>
    </tableColumn>
    <tableColumn id="2" xr3:uid="{7919B5B1-9228-4CF8-BDD8-8557A43C3D5A}" name="ASCII"/>
    <tableColumn id="3" xr3:uid="{9CB75CF4-03C7-4BC9-A37B-C4B48283673B}" name="Numerics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DDB72-39D1-4DA4-9DC9-BB7C41BE230D}">
  <sheetPr codeName="Sheet1"/>
  <dimension ref="A1"/>
  <sheetViews>
    <sheetView tabSelected="1" topLeftCell="A21" zoomScaleNormal="100" workbookViewId="0">
      <selection activeCell="I11" sqref="I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B7BFA-3E4D-4922-99C2-8E4E6DB74404}">
  <sheetPr codeName="Sheet2"/>
  <dimension ref="B2:J96"/>
  <sheetViews>
    <sheetView topLeftCell="A5" workbookViewId="0">
      <selection activeCell="J33" sqref="J33"/>
    </sheetView>
  </sheetViews>
  <sheetFormatPr defaultRowHeight="15" x14ac:dyDescent="0.25"/>
  <cols>
    <col min="2" max="2" width="14" customWidth="1"/>
    <col min="3" max="3" width="13.42578125" bestFit="1" customWidth="1"/>
    <col min="4" max="4" width="19.42578125" bestFit="1" customWidth="1"/>
    <col min="5" max="5" width="11.140625" bestFit="1" customWidth="1"/>
    <col min="6" max="6" width="17.7109375" bestFit="1" customWidth="1"/>
    <col min="7" max="7" width="15.140625" bestFit="1" customWidth="1"/>
    <col min="8" max="8" width="24" bestFit="1" customWidth="1"/>
    <col min="9" max="9" width="13.7109375" bestFit="1" customWidth="1"/>
    <col min="10" max="10" width="14" bestFit="1" customWidth="1"/>
  </cols>
  <sheetData>
    <row r="2" spans="2:10" x14ac:dyDescent="0.25">
      <c r="B2" s="10" t="s">
        <v>0</v>
      </c>
      <c r="C2" s="10"/>
      <c r="E2" s="8" t="s">
        <v>59</v>
      </c>
      <c r="F2" s="8" t="s">
        <v>57</v>
      </c>
      <c r="G2" s="8" t="s">
        <v>60</v>
      </c>
    </row>
    <row r="3" spans="2:10" x14ac:dyDescent="0.25">
      <c r="B3" s="1">
        <v>54</v>
      </c>
      <c r="C3" t="str">
        <f>IF(AND(B3&gt;=0, B3&lt;=89), "OK", "BAD")</f>
        <v>OK</v>
      </c>
      <c r="E3" s="9" t="s">
        <v>63</v>
      </c>
      <c r="F3">
        <f>SUMPRODUCT(--EXACT(I7:I96, E3), J7:J96)</f>
        <v>64</v>
      </c>
      <c r="G3" s="7" t="str">
        <f>VLOOKUP(TempTransNum, H7:I96, 2, FALSE)</f>
        <v>k</v>
      </c>
    </row>
    <row r="5" spans="2:10" x14ac:dyDescent="0.25">
      <c r="B5" s="11" t="s">
        <v>53</v>
      </c>
      <c r="C5" s="11"/>
      <c r="D5" s="11"/>
      <c r="H5" s="12" t="s">
        <v>54</v>
      </c>
      <c r="I5" s="12"/>
      <c r="J5" s="12"/>
    </row>
    <row r="6" spans="2:10" x14ac:dyDescent="0.25">
      <c r="B6" s="2" t="s">
        <v>1</v>
      </c>
      <c r="C6" s="2" t="s">
        <v>58</v>
      </c>
      <c r="D6" s="2" t="s">
        <v>2</v>
      </c>
      <c r="H6" s="5" t="s">
        <v>2</v>
      </c>
      <c r="I6" s="5" t="s">
        <v>58</v>
      </c>
      <c r="J6" s="5" t="s">
        <v>1</v>
      </c>
    </row>
    <row r="7" spans="2:10" x14ac:dyDescent="0.25">
      <c r="B7" s="7">
        <v>0</v>
      </c>
      <c r="C7" s="7" t="s">
        <v>55</v>
      </c>
      <c r="D7">
        <f>B3</f>
        <v>54</v>
      </c>
      <c r="H7" s="7">
        <f>Table1[[#This Row],[Translated Numerics]]</f>
        <v>54</v>
      </c>
      <c r="I7" t="s">
        <v>55</v>
      </c>
      <c r="J7" s="3">
        <v>0</v>
      </c>
    </row>
    <row r="8" spans="2:10" x14ac:dyDescent="0.25">
      <c r="B8" s="7">
        <v>1</v>
      </c>
      <c r="C8" t="s">
        <v>3</v>
      </c>
      <c r="D8">
        <f>IF(D7&gt;=89, 0, D7+1)</f>
        <v>55</v>
      </c>
      <c r="H8" s="7">
        <f>Table1[[#This Row],[Translated Numerics]]</f>
        <v>55</v>
      </c>
      <c r="I8" t="s">
        <v>3</v>
      </c>
      <c r="J8" s="3">
        <v>1</v>
      </c>
    </row>
    <row r="9" spans="2:10" x14ac:dyDescent="0.25">
      <c r="B9" s="7">
        <v>2</v>
      </c>
      <c r="C9" t="s">
        <v>4</v>
      </c>
      <c r="D9">
        <f t="shared" ref="D9:D72" si="0">IF(D8&gt;=89, 0, D8+1)</f>
        <v>56</v>
      </c>
      <c r="H9" s="7">
        <f>Table1[[#This Row],[Translated Numerics]]</f>
        <v>56</v>
      </c>
      <c r="I9" t="s">
        <v>4</v>
      </c>
      <c r="J9" s="3">
        <v>2</v>
      </c>
    </row>
    <row r="10" spans="2:10" x14ac:dyDescent="0.25">
      <c r="B10" s="7">
        <v>3</v>
      </c>
      <c r="C10" t="s">
        <v>5</v>
      </c>
      <c r="D10">
        <f t="shared" si="0"/>
        <v>57</v>
      </c>
      <c r="H10" s="7">
        <f>Table1[[#This Row],[Translated Numerics]]</f>
        <v>57</v>
      </c>
      <c r="I10" t="s">
        <v>5</v>
      </c>
      <c r="J10" s="3">
        <v>3</v>
      </c>
    </row>
    <row r="11" spans="2:10" x14ac:dyDescent="0.25">
      <c r="B11" s="7">
        <v>4</v>
      </c>
      <c r="C11" t="s">
        <v>6</v>
      </c>
      <c r="D11">
        <f t="shared" si="0"/>
        <v>58</v>
      </c>
      <c r="H11" s="7">
        <f>Table1[[#This Row],[Translated Numerics]]</f>
        <v>58</v>
      </c>
      <c r="I11" t="s">
        <v>6</v>
      </c>
      <c r="J11" s="3">
        <v>4</v>
      </c>
    </row>
    <row r="12" spans="2:10" x14ac:dyDescent="0.25">
      <c r="B12" s="7">
        <v>5</v>
      </c>
      <c r="C12" t="s">
        <v>7</v>
      </c>
      <c r="D12">
        <f t="shared" si="0"/>
        <v>59</v>
      </c>
      <c r="H12" s="7">
        <f>Table1[[#This Row],[Translated Numerics]]</f>
        <v>59</v>
      </c>
      <c r="I12" t="s">
        <v>7</v>
      </c>
      <c r="J12" s="3">
        <v>5</v>
      </c>
    </row>
    <row r="13" spans="2:10" x14ac:dyDescent="0.25">
      <c r="B13" s="7">
        <v>6</v>
      </c>
      <c r="C13" t="s">
        <v>8</v>
      </c>
      <c r="D13">
        <f t="shared" si="0"/>
        <v>60</v>
      </c>
      <c r="H13" s="7">
        <f>Table1[[#This Row],[Translated Numerics]]</f>
        <v>60</v>
      </c>
      <c r="I13" t="s">
        <v>8</v>
      </c>
      <c r="J13" s="3">
        <v>6</v>
      </c>
    </row>
    <row r="14" spans="2:10" x14ac:dyDescent="0.25">
      <c r="B14" s="7">
        <v>7</v>
      </c>
      <c r="C14" t="s">
        <v>9</v>
      </c>
      <c r="D14">
        <f t="shared" si="0"/>
        <v>61</v>
      </c>
      <c r="H14" s="7">
        <f>Table1[[#This Row],[Translated Numerics]]</f>
        <v>61</v>
      </c>
      <c r="I14" t="s">
        <v>9</v>
      </c>
      <c r="J14" s="3">
        <v>7</v>
      </c>
    </row>
    <row r="15" spans="2:10" x14ac:dyDescent="0.25">
      <c r="B15" s="7">
        <v>8</v>
      </c>
      <c r="C15" t="s">
        <v>10</v>
      </c>
      <c r="D15">
        <f t="shared" si="0"/>
        <v>62</v>
      </c>
      <c r="H15" s="7">
        <f>Table1[[#This Row],[Translated Numerics]]</f>
        <v>62</v>
      </c>
      <c r="I15" t="s">
        <v>10</v>
      </c>
      <c r="J15" s="3">
        <v>8</v>
      </c>
    </row>
    <row r="16" spans="2:10" x14ac:dyDescent="0.25">
      <c r="B16" s="7">
        <v>9</v>
      </c>
      <c r="C16" t="s">
        <v>11</v>
      </c>
      <c r="D16">
        <f t="shared" si="0"/>
        <v>63</v>
      </c>
      <c r="H16" s="7">
        <f>Table1[[#This Row],[Translated Numerics]]</f>
        <v>63</v>
      </c>
      <c r="I16" t="s">
        <v>11</v>
      </c>
      <c r="J16" s="3">
        <v>9</v>
      </c>
    </row>
    <row r="17" spans="2:10" x14ac:dyDescent="0.25">
      <c r="B17" s="7">
        <v>10</v>
      </c>
      <c r="C17" t="s">
        <v>12</v>
      </c>
      <c r="D17">
        <f t="shared" si="0"/>
        <v>64</v>
      </c>
      <c r="H17" s="7">
        <f>Table1[[#This Row],[Translated Numerics]]</f>
        <v>64</v>
      </c>
      <c r="I17" t="s">
        <v>12</v>
      </c>
      <c r="J17" s="3">
        <v>10</v>
      </c>
    </row>
    <row r="18" spans="2:10" x14ac:dyDescent="0.25">
      <c r="B18" s="7">
        <v>11</v>
      </c>
      <c r="C18" t="s">
        <v>13</v>
      </c>
      <c r="D18">
        <f t="shared" si="0"/>
        <v>65</v>
      </c>
      <c r="H18" s="7">
        <f>Table1[[#This Row],[Translated Numerics]]</f>
        <v>65</v>
      </c>
      <c r="I18" t="s">
        <v>13</v>
      </c>
      <c r="J18" s="3">
        <v>11</v>
      </c>
    </row>
    <row r="19" spans="2:10" x14ac:dyDescent="0.25">
      <c r="B19" s="7">
        <v>12</v>
      </c>
      <c r="C19" t="s">
        <v>14</v>
      </c>
      <c r="D19">
        <f t="shared" si="0"/>
        <v>66</v>
      </c>
      <c r="H19" s="7">
        <f>Table1[[#This Row],[Translated Numerics]]</f>
        <v>66</v>
      </c>
      <c r="I19" t="s">
        <v>14</v>
      </c>
      <c r="J19" s="3">
        <v>12</v>
      </c>
    </row>
    <row r="20" spans="2:10" x14ac:dyDescent="0.25">
      <c r="B20" s="7">
        <v>13</v>
      </c>
      <c r="C20" t="s">
        <v>15</v>
      </c>
      <c r="D20">
        <f t="shared" si="0"/>
        <v>67</v>
      </c>
      <c r="H20" s="7">
        <f>Table1[[#This Row],[Translated Numerics]]</f>
        <v>67</v>
      </c>
      <c r="I20" t="s">
        <v>15</v>
      </c>
      <c r="J20" s="3">
        <v>13</v>
      </c>
    </row>
    <row r="21" spans="2:10" x14ac:dyDescent="0.25">
      <c r="B21" s="7">
        <v>14</v>
      </c>
      <c r="C21" t="s">
        <v>16</v>
      </c>
      <c r="D21">
        <f t="shared" si="0"/>
        <v>68</v>
      </c>
      <c r="H21" s="7">
        <f>Table1[[#This Row],[Translated Numerics]]</f>
        <v>68</v>
      </c>
      <c r="I21" t="s">
        <v>16</v>
      </c>
      <c r="J21" s="3">
        <v>14</v>
      </c>
    </row>
    <row r="22" spans="2:10" x14ac:dyDescent="0.25">
      <c r="B22" s="7">
        <v>15</v>
      </c>
      <c r="C22" t="s">
        <v>17</v>
      </c>
      <c r="D22">
        <f t="shared" si="0"/>
        <v>69</v>
      </c>
      <c r="H22" s="7">
        <f>Table1[[#This Row],[Translated Numerics]]</f>
        <v>69</v>
      </c>
      <c r="I22" t="s">
        <v>17</v>
      </c>
      <c r="J22" s="3">
        <v>15</v>
      </c>
    </row>
    <row r="23" spans="2:10" x14ac:dyDescent="0.25">
      <c r="B23" s="7">
        <v>16</v>
      </c>
      <c r="C23" t="s">
        <v>18</v>
      </c>
      <c r="D23">
        <f t="shared" si="0"/>
        <v>70</v>
      </c>
      <c r="H23" s="7">
        <f>Table1[[#This Row],[Translated Numerics]]</f>
        <v>70</v>
      </c>
      <c r="I23" t="s">
        <v>18</v>
      </c>
      <c r="J23" s="3">
        <v>16</v>
      </c>
    </row>
    <row r="24" spans="2:10" x14ac:dyDescent="0.25">
      <c r="B24" s="7">
        <v>17</v>
      </c>
      <c r="C24" t="s">
        <v>19</v>
      </c>
      <c r="D24">
        <f t="shared" si="0"/>
        <v>71</v>
      </c>
      <c r="H24" s="7">
        <f>Table1[[#This Row],[Translated Numerics]]</f>
        <v>71</v>
      </c>
      <c r="I24" t="s">
        <v>19</v>
      </c>
      <c r="J24" s="3">
        <v>17</v>
      </c>
    </row>
    <row r="25" spans="2:10" x14ac:dyDescent="0.25">
      <c r="B25" s="7">
        <v>18</v>
      </c>
      <c r="C25" t="s">
        <v>20</v>
      </c>
      <c r="D25">
        <f t="shared" si="0"/>
        <v>72</v>
      </c>
      <c r="H25" s="7">
        <f>Table1[[#This Row],[Translated Numerics]]</f>
        <v>72</v>
      </c>
      <c r="I25" t="s">
        <v>20</v>
      </c>
      <c r="J25" s="3">
        <v>18</v>
      </c>
    </row>
    <row r="26" spans="2:10" x14ac:dyDescent="0.25">
      <c r="B26" s="7">
        <v>19</v>
      </c>
      <c r="C26" t="s">
        <v>21</v>
      </c>
      <c r="D26">
        <f t="shared" si="0"/>
        <v>73</v>
      </c>
      <c r="H26" s="7">
        <f>Table1[[#This Row],[Translated Numerics]]</f>
        <v>73</v>
      </c>
      <c r="I26" t="s">
        <v>21</v>
      </c>
      <c r="J26" s="3">
        <v>19</v>
      </c>
    </row>
    <row r="27" spans="2:10" x14ac:dyDescent="0.25">
      <c r="B27" s="7">
        <v>20</v>
      </c>
      <c r="C27" t="s">
        <v>22</v>
      </c>
      <c r="D27">
        <f t="shared" si="0"/>
        <v>74</v>
      </c>
      <c r="H27" s="7">
        <f>Table1[[#This Row],[Translated Numerics]]</f>
        <v>74</v>
      </c>
      <c r="I27" t="s">
        <v>22</v>
      </c>
      <c r="J27" s="3">
        <v>20</v>
      </c>
    </row>
    <row r="28" spans="2:10" x14ac:dyDescent="0.25">
      <c r="B28" s="7">
        <v>21</v>
      </c>
      <c r="C28" t="s">
        <v>23</v>
      </c>
      <c r="D28">
        <f t="shared" si="0"/>
        <v>75</v>
      </c>
      <c r="H28" s="7">
        <f>Table1[[#This Row],[Translated Numerics]]</f>
        <v>75</v>
      </c>
      <c r="I28" t="s">
        <v>23</v>
      </c>
      <c r="J28" s="3">
        <v>21</v>
      </c>
    </row>
    <row r="29" spans="2:10" x14ac:dyDescent="0.25">
      <c r="B29" s="7">
        <v>22</v>
      </c>
      <c r="C29" t="s">
        <v>24</v>
      </c>
      <c r="D29">
        <f t="shared" si="0"/>
        <v>76</v>
      </c>
      <c r="H29" s="7">
        <f>Table1[[#This Row],[Translated Numerics]]</f>
        <v>76</v>
      </c>
      <c r="I29" t="s">
        <v>24</v>
      </c>
      <c r="J29" s="3">
        <v>22</v>
      </c>
    </row>
    <row r="30" spans="2:10" x14ac:dyDescent="0.25">
      <c r="B30" s="7">
        <v>23</v>
      </c>
      <c r="C30" t="s">
        <v>25</v>
      </c>
      <c r="D30">
        <f t="shared" si="0"/>
        <v>77</v>
      </c>
      <c r="H30" s="7">
        <f>Table1[[#This Row],[Translated Numerics]]</f>
        <v>77</v>
      </c>
      <c r="I30" t="s">
        <v>25</v>
      </c>
      <c r="J30" s="3">
        <v>23</v>
      </c>
    </row>
    <row r="31" spans="2:10" x14ac:dyDescent="0.25">
      <c r="B31" s="7">
        <v>24</v>
      </c>
      <c r="C31" t="s">
        <v>26</v>
      </c>
      <c r="D31">
        <f t="shared" si="0"/>
        <v>78</v>
      </c>
      <c r="H31" s="7">
        <f>Table1[[#This Row],[Translated Numerics]]</f>
        <v>78</v>
      </c>
      <c r="I31" t="s">
        <v>26</v>
      </c>
      <c r="J31" s="3">
        <v>24</v>
      </c>
    </row>
    <row r="32" spans="2:10" x14ac:dyDescent="0.25">
      <c r="B32" s="7">
        <v>25</v>
      </c>
      <c r="C32" t="s">
        <v>27</v>
      </c>
      <c r="D32">
        <f t="shared" si="0"/>
        <v>79</v>
      </c>
      <c r="H32" s="7">
        <f>Table1[[#This Row],[Translated Numerics]]</f>
        <v>79</v>
      </c>
      <c r="I32" t="s">
        <v>27</v>
      </c>
      <c r="J32" s="3">
        <v>25</v>
      </c>
    </row>
    <row r="33" spans="2:10" x14ac:dyDescent="0.25">
      <c r="B33" s="7">
        <v>26</v>
      </c>
      <c r="C33" t="s">
        <v>56</v>
      </c>
      <c r="D33">
        <f t="shared" si="0"/>
        <v>80</v>
      </c>
      <c r="H33" s="7">
        <f>Table1[[#This Row],[Translated Numerics]]</f>
        <v>80</v>
      </c>
      <c r="I33" t="s">
        <v>56</v>
      </c>
      <c r="J33" s="3">
        <v>26</v>
      </c>
    </row>
    <row r="34" spans="2:10" x14ac:dyDescent="0.25">
      <c r="B34" s="7">
        <v>27</v>
      </c>
      <c r="C34" t="s">
        <v>28</v>
      </c>
      <c r="D34">
        <f t="shared" si="0"/>
        <v>81</v>
      </c>
      <c r="H34" s="7">
        <f>Table1[[#This Row],[Translated Numerics]]</f>
        <v>81</v>
      </c>
      <c r="I34" t="s">
        <v>28</v>
      </c>
      <c r="J34" s="3">
        <v>27</v>
      </c>
    </row>
    <row r="35" spans="2:10" x14ac:dyDescent="0.25">
      <c r="B35" s="7">
        <v>28</v>
      </c>
      <c r="C35" t="s">
        <v>29</v>
      </c>
      <c r="D35">
        <f t="shared" si="0"/>
        <v>82</v>
      </c>
      <c r="H35" s="7">
        <f>Table1[[#This Row],[Translated Numerics]]</f>
        <v>82</v>
      </c>
      <c r="I35" t="s">
        <v>29</v>
      </c>
      <c r="J35" s="3">
        <v>28</v>
      </c>
    </row>
    <row r="36" spans="2:10" x14ac:dyDescent="0.25">
      <c r="B36" s="7">
        <v>29</v>
      </c>
      <c r="C36" t="s">
        <v>30</v>
      </c>
      <c r="D36">
        <f t="shared" si="0"/>
        <v>83</v>
      </c>
      <c r="H36" s="7">
        <f>Table1[[#This Row],[Translated Numerics]]</f>
        <v>83</v>
      </c>
      <c r="I36" t="s">
        <v>30</v>
      </c>
      <c r="J36" s="3">
        <v>29</v>
      </c>
    </row>
    <row r="37" spans="2:10" x14ac:dyDescent="0.25">
      <c r="B37" s="7">
        <v>30</v>
      </c>
      <c r="C37" t="s">
        <v>31</v>
      </c>
      <c r="D37">
        <f t="shared" si="0"/>
        <v>84</v>
      </c>
      <c r="H37" s="7">
        <f>Table1[[#This Row],[Translated Numerics]]</f>
        <v>84</v>
      </c>
      <c r="I37" t="s">
        <v>31</v>
      </c>
      <c r="J37" s="3">
        <v>30</v>
      </c>
    </row>
    <row r="38" spans="2:10" x14ac:dyDescent="0.25">
      <c r="B38" s="7">
        <v>31</v>
      </c>
      <c r="C38" t="s">
        <v>32</v>
      </c>
      <c r="D38">
        <f t="shared" si="0"/>
        <v>85</v>
      </c>
      <c r="H38" s="7">
        <f>Table1[[#This Row],[Translated Numerics]]</f>
        <v>85</v>
      </c>
      <c r="I38" t="s">
        <v>32</v>
      </c>
      <c r="J38" s="3">
        <v>31</v>
      </c>
    </row>
    <row r="39" spans="2:10" x14ac:dyDescent="0.25">
      <c r="B39" s="7">
        <v>32</v>
      </c>
      <c r="C39" t="s">
        <v>33</v>
      </c>
      <c r="D39">
        <f t="shared" si="0"/>
        <v>86</v>
      </c>
      <c r="H39" s="7">
        <f>Table1[[#This Row],[Translated Numerics]]</f>
        <v>86</v>
      </c>
      <c r="I39" t="s">
        <v>33</v>
      </c>
      <c r="J39" s="3">
        <v>32</v>
      </c>
    </row>
    <row r="40" spans="2:10" x14ac:dyDescent="0.25">
      <c r="B40" s="7">
        <v>33</v>
      </c>
      <c r="C40" t="s">
        <v>34</v>
      </c>
      <c r="D40">
        <f t="shared" si="0"/>
        <v>87</v>
      </c>
      <c r="H40" s="7">
        <f>Table1[[#This Row],[Translated Numerics]]</f>
        <v>87</v>
      </c>
      <c r="I40" t="s">
        <v>34</v>
      </c>
      <c r="J40" s="3">
        <v>33</v>
      </c>
    </row>
    <row r="41" spans="2:10" x14ac:dyDescent="0.25">
      <c r="B41" s="7">
        <v>34</v>
      </c>
      <c r="C41" t="s">
        <v>35</v>
      </c>
      <c r="D41">
        <f t="shared" si="0"/>
        <v>88</v>
      </c>
      <c r="H41" s="7">
        <f>Table1[[#This Row],[Translated Numerics]]</f>
        <v>88</v>
      </c>
      <c r="I41" t="s">
        <v>35</v>
      </c>
      <c r="J41" s="3">
        <v>34</v>
      </c>
    </row>
    <row r="42" spans="2:10" x14ac:dyDescent="0.25">
      <c r="B42" s="7">
        <v>35</v>
      </c>
      <c r="C42" t="s">
        <v>36</v>
      </c>
      <c r="D42">
        <f t="shared" si="0"/>
        <v>89</v>
      </c>
      <c r="H42" s="7">
        <f>Table1[[#This Row],[Translated Numerics]]</f>
        <v>89</v>
      </c>
      <c r="I42" t="s">
        <v>36</v>
      </c>
      <c r="J42" s="3">
        <v>35</v>
      </c>
    </row>
    <row r="43" spans="2:10" x14ac:dyDescent="0.25">
      <c r="B43" s="7">
        <v>36</v>
      </c>
      <c r="C43" t="s">
        <v>37</v>
      </c>
      <c r="D43">
        <f t="shared" si="0"/>
        <v>0</v>
      </c>
      <c r="H43" s="7">
        <f>Table1[[#This Row],[Translated Numerics]]</f>
        <v>0</v>
      </c>
      <c r="I43" t="s">
        <v>37</v>
      </c>
      <c r="J43" s="3">
        <v>36</v>
      </c>
    </row>
    <row r="44" spans="2:10" x14ac:dyDescent="0.25">
      <c r="B44" s="7">
        <v>37</v>
      </c>
      <c r="C44" t="s">
        <v>38</v>
      </c>
      <c r="D44">
        <f t="shared" si="0"/>
        <v>1</v>
      </c>
      <c r="H44" s="7">
        <f>Table1[[#This Row],[Translated Numerics]]</f>
        <v>1</v>
      </c>
      <c r="I44" t="s">
        <v>38</v>
      </c>
      <c r="J44" s="3">
        <v>37</v>
      </c>
    </row>
    <row r="45" spans="2:10" x14ac:dyDescent="0.25">
      <c r="B45" s="7">
        <v>38</v>
      </c>
      <c r="C45" t="s">
        <v>39</v>
      </c>
      <c r="D45">
        <f t="shared" si="0"/>
        <v>2</v>
      </c>
      <c r="H45" s="7">
        <f>Table1[[#This Row],[Translated Numerics]]</f>
        <v>2</v>
      </c>
      <c r="I45" t="s">
        <v>39</v>
      </c>
      <c r="J45" s="3">
        <v>38</v>
      </c>
    </row>
    <row r="46" spans="2:10" x14ac:dyDescent="0.25">
      <c r="B46" s="7">
        <v>39</v>
      </c>
      <c r="C46" t="s">
        <v>40</v>
      </c>
      <c r="D46">
        <f t="shared" si="0"/>
        <v>3</v>
      </c>
      <c r="H46" s="7">
        <f>Table1[[#This Row],[Translated Numerics]]</f>
        <v>3</v>
      </c>
      <c r="I46" t="s">
        <v>40</v>
      </c>
      <c r="J46" s="3">
        <v>39</v>
      </c>
    </row>
    <row r="47" spans="2:10" x14ac:dyDescent="0.25">
      <c r="B47" s="7">
        <v>40</v>
      </c>
      <c r="C47" t="s">
        <v>41</v>
      </c>
      <c r="D47">
        <f t="shared" si="0"/>
        <v>4</v>
      </c>
      <c r="H47" s="7">
        <f>Table1[[#This Row],[Translated Numerics]]</f>
        <v>4</v>
      </c>
      <c r="I47" t="s">
        <v>41</v>
      </c>
      <c r="J47" s="3">
        <v>40</v>
      </c>
    </row>
    <row r="48" spans="2:10" x14ac:dyDescent="0.25">
      <c r="B48" s="7">
        <v>41</v>
      </c>
      <c r="C48" t="s">
        <v>42</v>
      </c>
      <c r="D48">
        <f t="shared" si="0"/>
        <v>5</v>
      </c>
      <c r="H48" s="7">
        <f>Table1[[#This Row],[Translated Numerics]]</f>
        <v>5</v>
      </c>
      <c r="I48" t="s">
        <v>42</v>
      </c>
      <c r="J48" s="3">
        <v>41</v>
      </c>
    </row>
    <row r="49" spans="2:10" x14ac:dyDescent="0.25">
      <c r="B49" s="7">
        <v>42</v>
      </c>
      <c r="C49" t="s">
        <v>43</v>
      </c>
      <c r="D49">
        <f t="shared" si="0"/>
        <v>6</v>
      </c>
      <c r="H49" s="7">
        <f>Table1[[#This Row],[Translated Numerics]]</f>
        <v>6</v>
      </c>
      <c r="I49" t="s">
        <v>43</v>
      </c>
      <c r="J49" s="3">
        <v>42</v>
      </c>
    </row>
    <row r="50" spans="2:10" x14ac:dyDescent="0.25">
      <c r="B50" s="7">
        <v>43</v>
      </c>
      <c r="C50" t="s">
        <v>44</v>
      </c>
      <c r="D50">
        <f t="shared" si="0"/>
        <v>7</v>
      </c>
      <c r="H50" s="7">
        <f>Table1[[#This Row],[Translated Numerics]]</f>
        <v>7</v>
      </c>
      <c r="I50" t="s">
        <v>44</v>
      </c>
      <c r="J50" s="3">
        <v>43</v>
      </c>
    </row>
    <row r="51" spans="2:10" x14ac:dyDescent="0.25">
      <c r="B51" s="7">
        <v>44</v>
      </c>
      <c r="C51" t="s">
        <v>45</v>
      </c>
      <c r="D51">
        <f t="shared" si="0"/>
        <v>8</v>
      </c>
      <c r="H51" s="7">
        <f>Table1[[#This Row],[Translated Numerics]]</f>
        <v>8</v>
      </c>
      <c r="I51" t="s">
        <v>45</v>
      </c>
      <c r="J51" s="3">
        <v>44</v>
      </c>
    </row>
    <row r="52" spans="2:10" x14ac:dyDescent="0.25">
      <c r="B52" s="7">
        <v>45</v>
      </c>
      <c r="C52" t="s">
        <v>46</v>
      </c>
      <c r="D52">
        <f t="shared" si="0"/>
        <v>9</v>
      </c>
      <c r="H52" s="7">
        <f>Table1[[#This Row],[Translated Numerics]]</f>
        <v>9</v>
      </c>
      <c r="I52" t="s">
        <v>46</v>
      </c>
      <c r="J52" s="3">
        <v>45</v>
      </c>
    </row>
    <row r="53" spans="2:10" x14ac:dyDescent="0.25">
      <c r="B53" s="7">
        <v>46</v>
      </c>
      <c r="C53" t="s">
        <v>47</v>
      </c>
      <c r="D53">
        <f t="shared" si="0"/>
        <v>10</v>
      </c>
      <c r="H53" s="7">
        <f>Table1[[#This Row],[Translated Numerics]]</f>
        <v>10</v>
      </c>
      <c r="I53" t="s">
        <v>47</v>
      </c>
      <c r="J53" s="3">
        <v>46</v>
      </c>
    </row>
    <row r="54" spans="2:10" x14ac:dyDescent="0.25">
      <c r="B54" s="7">
        <v>47</v>
      </c>
      <c r="C54" t="s">
        <v>48</v>
      </c>
      <c r="D54">
        <f t="shared" si="0"/>
        <v>11</v>
      </c>
      <c r="H54" s="7">
        <f>Table1[[#This Row],[Translated Numerics]]</f>
        <v>11</v>
      </c>
      <c r="I54" t="s">
        <v>48</v>
      </c>
      <c r="J54" s="3">
        <v>47</v>
      </c>
    </row>
    <row r="55" spans="2:10" x14ac:dyDescent="0.25">
      <c r="B55" s="7">
        <v>48</v>
      </c>
      <c r="C55" t="s">
        <v>49</v>
      </c>
      <c r="D55">
        <f t="shared" si="0"/>
        <v>12</v>
      </c>
      <c r="H55" s="7">
        <f>Table1[[#This Row],[Translated Numerics]]</f>
        <v>12</v>
      </c>
      <c r="I55" t="s">
        <v>49</v>
      </c>
      <c r="J55" s="3">
        <v>48</v>
      </c>
    </row>
    <row r="56" spans="2:10" x14ac:dyDescent="0.25">
      <c r="B56" s="7">
        <v>49</v>
      </c>
      <c r="C56" t="s">
        <v>50</v>
      </c>
      <c r="D56">
        <f t="shared" si="0"/>
        <v>13</v>
      </c>
      <c r="H56" s="7">
        <f>Table1[[#This Row],[Translated Numerics]]</f>
        <v>13</v>
      </c>
      <c r="I56" t="s">
        <v>50</v>
      </c>
      <c r="J56" s="3">
        <v>49</v>
      </c>
    </row>
    <row r="57" spans="2:10" x14ac:dyDescent="0.25">
      <c r="B57" s="7">
        <v>50</v>
      </c>
      <c r="C57" t="s">
        <v>51</v>
      </c>
      <c r="D57">
        <f t="shared" si="0"/>
        <v>14</v>
      </c>
      <c r="H57" s="7">
        <f>Table1[[#This Row],[Translated Numerics]]</f>
        <v>14</v>
      </c>
      <c r="I57" t="s">
        <v>51</v>
      </c>
      <c r="J57" s="3">
        <v>50</v>
      </c>
    </row>
    <row r="58" spans="2:10" x14ac:dyDescent="0.25">
      <c r="B58" s="7">
        <v>51</v>
      </c>
      <c r="C58" t="s">
        <v>52</v>
      </c>
      <c r="D58">
        <f t="shared" si="0"/>
        <v>15</v>
      </c>
      <c r="H58" s="7">
        <f>Table1[[#This Row],[Translated Numerics]]</f>
        <v>15</v>
      </c>
      <c r="I58" t="s">
        <v>52</v>
      </c>
      <c r="J58" s="3">
        <v>51</v>
      </c>
    </row>
    <row r="59" spans="2:10" x14ac:dyDescent="0.25">
      <c r="B59" s="7">
        <v>52</v>
      </c>
      <c r="C59" s="6">
        <v>0</v>
      </c>
      <c r="D59">
        <f t="shared" si="0"/>
        <v>16</v>
      </c>
      <c r="H59" s="7">
        <f>Table1[[#This Row],[Translated Numerics]]</f>
        <v>16</v>
      </c>
      <c r="I59" s="6">
        <v>0</v>
      </c>
      <c r="J59" s="3">
        <v>52</v>
      </c>
    </row>
    <row r="60" spans="2:10" x14ac:dyDescent="0.25">
      <c r="B60" s="7">
        <v>53</v>
      </c>
      <c r="C60" s="6">
        <v>1</v>
      </c>
      <c r="D60">
        <f t="shared" si="0"/>
        <v>17</v>
      </c>
      <c r="H60" s="7">
        <f>Table1[[#This Row],[Translated Numerics]]</f>
        <v>17</v>
      </c>
      <c r="I60" s="6">
        <v>1</v>
      </c>
      <c r="J60" s="3">
        <v>53</v>
      </c>
    </row>
    <row r="61" spans="2:10" x14ac:dyDescent="0.25">
      <c r="B61" s="7">
        <v>54</v>
      </c>
      <c r="C61" s="6">
        <v>2</v>
      </c>
      <c r="D61">
        <f t="shared" si="0"/>
        <v>18</v>
      </c>
      <c r="H61" s="7">
        <f>Table1[[#This Row],[Translated Numerics]]</f>
        <v>18</v>
      </c>
      <c r="I61" s="6">
        <v>2</v>
      </c>
      <c r="J61" s="3">
        <v>54</v>
      </c>
    </row>
    <row r="62" spans="2:10" x14ac:dyDescent="0.25">
      <c r="B62" s="7">
        <v>55</v>
      </c>
      <c r="C62" s="6">
        <v>3</v>
      </c>
      <c r="D62">
        <f t="shared" si="0"/>
        <v>19</v>
      </c>
      <c r="H62" s="7">
        <f>Table1[[#This Row],[Translated Numerics]]</f>
        <v>19</v>
      </c>
      <c r="I62" s="6">
        <v>3</v>
      </c>
      <c r="J62" s="3">
        <v>55</v>
      </c>
    </row>
    <row r="63" spans="2:10" x14ac:dyDescent="0.25">
      <c r="B63" s="7">
        <v>56</v>
      </c>
      <c r="C63" s="6">
        <v>4</v>
      </c>
      <c r="D63">
        <f t="shared" si="0"/>
        <v>20</v>
      </c>
      <c r="H63" s="7">
        <f>Table1[[#This Row],[Translated Numerics]]</f>
        <v>20</v>
      </c>
      <c r="I63" s="6">
        <v>4</v>
      </c>
      <c r="J63" s="3">
        <v>56</v>
      </c>
    </row>
    <row r="64" spans="2:10" x14ac:dyDescent="0.25">
      <c r="B64" s="7">
        <v>57</v>
      </c>
      <c r="C64" s="6">
        <v>5</v>
      </c>
      <c r="D64">
        <f t="shared" si="0"/>
        <v>21</v>
      </c>
      <c r="H64" s="7">
        <f>Table1[[#This Row],[Translated Numerics]]</f>
        <v>21</v>
      </c>
      <c r="I64" s="6">
        <v>5</v>
      </c>
      <c r="J64" s="3">
        <v>57</v>
      </c>
    </row>
    <row r="65" spans="2:10" x14ac:dyDescent="0.25">
      <c r="B65" s="7">
        <v>58</v>
      </c>
      <c r="C65" s="6">
        <v>6</v>
      </c>
      <c r="D65">
        <f t="shared" si="0"/>
        <v>22</v>
      </c>
      <c r="H65" s="7">
        <f>Table1[[#This Row],[Translated Numerics]]</f>
        <v>22</v>
      </c>
      <c r="I65" s="6">
        <v>6</v>
      </c>
      <c r="J65" s="3">
        <v>58</v>
      </c>
    </row>
    <row r="66" spans="2:10" x14ac:dyDescent="0.25">
      <c r="B66" s="7">
        <v>59</v>
      </c>
      <c r="C66" s="6">
        <v>7</v>
      </c>
      <c r="D66">
        <f t="shared" si="0"/>
        <v>23</v>
      </c>
      <c r="H66" s="7">
        <f>Table1[[#This Row],[Translated Numerics]]</f>
        <v>23</v>
      </c>
      <c r="I66" s="6">
        <v>7</v>
      </c>
      <c r="J66" s="3">
        <v>59</v>
      </c>
    </row>
    <row r="67" spans="2:10" x14ac:dyDescent="0.25">
      <c r="B67" s="7">
        <v>60</v>
      </c>
      <c r="C67" s="6">
        <v>8</v>
      </c>
      <c r="D67">
        <f t="shared" si="0"/>
        <v>24</v>
      </c>
      <c r="H67" s="7">
        <f>Table1[[#This Row],[Translated Numerics]]</f>
        <v>24</v>
      </c>
      <c r="I67" s="6">
        <v>8</v>
      </c>
      <c r="J67" s="3">
        <v>60</v>
      </c>
    </row>
    <row r="68" spans="2:10" x14ac:dyDescent="0.25">
      <c r="B68" s="7">
        <v>61</v>
      </c>
      <c r="C68" s="6" t="s">
        <v>64</v>
      </c>
      <c r="D68">
        <f t="shared" si="0"/>
        <v>25</v>
      </c>
      <c r="H68" s="7">
        <f>Table1[[#This Row],[Translated Numerics]]</f>
        <v>25</v>
      </c>
      <c r="I68" s="6">
        <v>9</v>
      </c>
      <c r="J68" s="4">
        <v>61</v>
      </c>
    </row>
    <row r="69" spans="2:10" x14ac:dyDescent="0.25">
      <c r="B69" s="7">
        <v>62</v>
      </c>
      <c r="C69" t="s">
        <v>65</v>
      </c>
      <c r="D69">
        <f t="shared" si="0"/>
        <v>26</v>
      </c>
      <c r="H69" s="7">
        <f>Table1[[#This Row],[Translated Numerics]]</f>
        <v>26</v>
      </c>
      <c r="I69" t="s">
        <v>65</v>
      </c>
      <c r="J69" s="3">
        <v>62</v>
      </c>
    </row>
    <row r="70" spans="2:10" x14ac:dyDescent="0.25">
      <c r="B70" s="7">
        <v>63</v>
      </c>
      <c r="C70" t="s">
        <v>67</v>
      </c>
      <c r="D70">
        <f t="shared" si="0"/>
        <v>27</v>
      </c>
      <c r="H70" s="7">
        <f>Table1[[#This Row],[Translated Numerics]]</f>
        <v>27</v>
      </c>
      <c r="I70" t="s">
        <v>67</v>
      </c>
      <c r="J70" s="3">
        <v>63</v>
      </c>
    </row>
    <row r="71" spans="2:10" x14ac:dyDescent="0.25">
      <c r="B71" s="7">
        <v>64</v>
      </c>
      <c r="C71" t="s">
        <v>63</v>
      </c>
      <c r="D71">
        <f t="shared" si="0"/>
        <v>28</v>
      </c>
      <c r="H71" s="7">
        <f>Table1[[#This Row],[Translated Numerics]]</f>
        <v>28</v>
      </c>
      <c r="I71" t="s">
        <v>63</v>
      </c>
      <c r="J71" s="3">
        <v>64</v>
      </c>
    </row>
    <row r="72" spans="2:10" x14ac:dyDescent="0.25">
      <c r="B72" s="7">
        <v>65</v>
      </c>
      <c r="C72" t="s">
        <v>62</v>
      </c>
      <c r="D72">
        <f t="shared" si="0"/>
        <v>29</v>
      </c>
      <c r="H72" s="7">
        <f>Table1[[#This Row],[Translated Numerics]]</f>
        <v>29</v>
      </c>
      <c r="I72" t="s">
        <v>62</v>
      </c>
      <c r="J72" s="4">
        <v>65</v>
      </c>
    </row>
    <row r="73" spans="2:10" x14ac:dyDescent="0.25">
      <c r="B73" s="7">
        <v>66</v>
      </c>
      <c r="C73" t="s">
        <v>68</v>
      </c>
      <c r="D73">
        <f t="shared" ref="D73:D96" si="1">IF(D72&gt;=89, 0, D72+1)</f>
        <v>30</v>
      </c>
      <c r="H73" s="7">
        <f>Table1[[#This Row],[Translated Numerics]]</f>
        <v>30</v>
      </c>
      <c r="I73" t="s">
        <v>68</v>
      </c>
      <c r="J73" s="3">
        <v>66</v>
      </c>
    </row>
    <row r="74" spans="2:10" x14ac:dyDescent="0.25">
      <c r="B74" s="7">
        <v>67</v>
      </c>
      <c r="C74" t="s">
        <v>69</v>
      </c>
      <c r="D74">
        <f t="shared" si="1"/>
        <v>31</v>
      </c>
      <c r="H74" s="7">
        <f>Table1[[#This Row],[Translated Numerics]]</f>
        <v>31</v>
      </c>
      <c r="I74" t="s">
        <v>69</v>
      </c>
      <c r="J74" s="3">
        <v>67</v>
      </c>
    </row>
    <row r="75" spans="2:10" x14ac:dyDescent="0.25">
      <c r="B75" s="7">
        <v>68</v>
      </c>
      <c r="C75" t="s">
        <v>70</v>
      </c>
      <c r="D75">
        <f t="shared" si="1"/>
        <v>32</v>
      </c>
      <c r="H75" s="7">
        <f>Table1[[#This Row],[Translated Numerics]]</f>
        <v>32</v>
      </c>
      <c r="I75" t="s">
        <v>70</v>
      </c>
      <c r="J75" s="3">
        <v>68</v>
      </c>
    </row>
    <row r="76" spans="2:10" x14ac:dyDescent="0.25">
      <c r="B76" s="7">
        <v>69</v>
      </c>
      <c r="C76" t="s">
        <v>66</v>
      </c>
      <c r="D76">
        <f t="shared" si="1"/>
        <v>33</v>
      </c>
      <c r="H76" s="7">
        <f>Table1[[#This Row],[Translated Numerics]]</f>
        <v>33</v>
      </c>
      <c r="I76" t="s">
        <v>66</v>
      </c>
      <c r="J76" s="4">
        <v>69</v>
      </c>
    </row>
    <row r="77" spans="2:10" x14ac:dyDescent="0.25">
      <c r="B77" s="7">
        <v>70</v>
      </c>
      <c r="C77" t="s">
        <v>71</v>
      </c>
      <c r="D77">
        <f t="shared" si="1"/>
        <v>34</v>
      </c>
      <c r="H77" s="7">
        <f>Table1[[#This Row],[Translated Numerics]]</f>
        <v>34</v>
      </c>
      <c r="I77" t="s">
        <v>71</v>
      </c>
      <c r="J77" s="3">
        <v>70</v>
      </c>
    </row>
    <row r="78" spans="2:10" x14ac:dyDescent="0.25">
      <c r="B78" s="7">
        <v>71</v>
      </c>
      <c r="C78" t="s">
        <v>72</v>
      </c>
      <c r="D78">
        <f t="shared" si="1"/>
        <v>35</v>
      </c>
      <c r="H78" s="7">
        <f>Table1[[#This Row],[Translated Numerics]]</f>
        <v>35</v>
      </c>
      <c r="I78" t="s">
        <v>72</v>
      </c>
      <c r="J78" s="3">
        <v>71</v>
      </c>
    </row>
    <row r="79" spans="2:10" x14ac:dyDescent="0.25">
      <c r="B79" s="7">
        <v>72</v>
      </c>
      <c r="C79" t="s">
        <v>73</v>
      </c>
      <c r="D79">
        <f t="shared" si="1"/>
        <v>36</v>
      </c>
      <c r="H79" s="7">
        <f>Table1[[#This Row],[Translated Numerics]]</f>
        <v>36</v>
      </c>
      <c r="I79" t="s">
        <v>73</v>
      </c>
      <c r="J79" s="3">
        <v>72</v>
      </c>
    </row>
    <row r="80" spans="2:10" x14ac:dyDescent="0.25">
      <c r="B80" s="7">
        <v>73</v>
      </c>
      <c r="C80" t="s">
        <v>74</v>
      </c>
      <c r="D80">
        <f t="shared" si="1"/>
        <v>37</v>
      </c>
      <c r="H80" s="7">
        <f>Table1[[#This Row],[Translated Numerics]]</f>
        <v>37</v>
      </c>
      <c r="I80" t="s">
        <v>74</v>
      </c>
      <c r="J80" s="4">
        <v>73</v>
      </c>
    </row>
    <row r="81" spans="2:10" x14ac:dyDescent="0.25">
      <c r="B81" s="7">
        <v>74</v>
      </c>
      <c r="C81" t="s">
        <v>75</v>
      </c>
      <c r="D81">
        <f t="shared" si="1"/>
        <v>38</v>
      </c>
      <c r="H81" s="7">
        <f>Table1[[#This Row],[Translated Numerics]]</f>
        <v>38</v>
      </c>
      <c r="I81" t="s">
        <v>75</v>
      </c>
      <c r="J81" s="3">
        <v>74</v>
      </c>
    </row>
    <row r="82" spans="2:10" x14ac:dyDescent="0.25">
      <c r="B82" s="7">
        <v>75</v>
      </c>
      <c r="C82" t="s">
        <v>76</v>
      </c>
      <c r="D82">
        <f t="shared" si="1"/>
        <v>39</v>
      </c>
      <c r="H82" s="7">
        <f>Table1[[#This Row],[Translated Numerics]]</f>
        <v>39</v>
      </c>
      <c r="I82" t="s">
        <v>76</v>
      </c>
      <c r="J82" s="3">
        <v>75</v>
      </c>
    </row>
    <row r="83" spans="2:10" x14ac:dyDescent="0.25">
      <c r="B83" s="7">
        <v>76</v>
      </c>
      <c r="C83" t="s">
        <v>77</v>
      </c>
      <c r="D83">
        <f t="shared" si="1"/>
        <v>40</v>
      </c>
      <c r="H83" s="7">
        <f>Table1[[#This Row],[Translated Numerics]]</f>
        <v>40</v>
      </c>
      <c r="I83" t="s">
        <v>77</v>
      </c>
      <c r="J83" s="3">
        <v>76</v>
      </c>
    </row>
    <row r="84" spans="2:10" x14ac:dyDescent="0.25">
      <c r="B84" s="7">
        <v>77</v>
      </c>
      <c r="C84" t="s">
        <v>78</v>
      </c>
      <c r="D84">
        <f t="shared" si="1"/>
        <v>41</v>
      </c>
      <c r="H84" s="7">
        <f>Table1[[#This Row],[Translated Numerics]]</f>
        <v>41</v>
      </c>
      <c r="I84" t="s">
        <v>78</v>
      </c>
      <c r="J84" s="4">
        <v>77</v>
      </c>
    </row>
    <row r="85" spans="2:10" x14ac:dyDescent="0.25">
      <c r="B85" s="7">
        <v>78</v>
      </c>
      <c r="C85" t="s">
        <v>79</v>
      </c>
      <c r="D85">
        <f t="shared" si="1"/>
        <v>42</v>
      </c>
      <c r="H85" s="7">
        <f>Table1[[#This Row],[Translated Numerics]]</f>
        <v>42</v>
      </c>
      <c r="I85" t="s">
        <v>79</v>
      </c>
      <c r="J85" s="3">
        <v>78</v>
      </c>
    </row>
    <row r="86" spans="2:10" x14ac:dyDescent="0.25">
      <c r="B86" s="7">
        <v>79</v>
      </c>
      <c r="C86" t="s">
        <v>80</v>
      </c>
      <c r="D86">
        <f t="shared" si="1"/>
        <v>43</v>
      </c>
      <c r="H86" s="7">
        <f>Table1[[#This Row],[Translated Numerics]]</f>
        <v>43</v>
      </c>
      <c r="I86" t="s">
        <v>80</v>
      </c>
      <c r="J86" s="3">
        <v>79</v>
      </c>
    </row>
    <row r="87" spans="2:10" x14ac:dyDescent="0.25">
      <c r="B87" s="7">
        <v>80</v>
      </c>
      <c r="C87" t="s">
        <v>61</v>
      </c>
      <c r="D87">
        <f t="shared" si="1"/>
        <v>44</v>
      </c>
      <c r="H87" s="7">
        <f>Table1[[#This Row],[Translated Numerics]]</f>
        <v>44</v>
      </c>
      <c r="I87" t="s">
        <v>61</v>
      </c>
      <c r="J87" s="3">
        <v>80</v>
      </c>
    </row>
    <row r="88" spans="2:10" x14ac:dyDescent="0.25">
      <c r="B88" s="7">
        <v>81</v>
      </c>
      <c r="C88" t="s">
        <v>81</v>
      </c>
      <c r="D88">
        <f t="shared" si="1"/>
        <v>45</v>
      </c>
      <c r="H88" s="7">
        <f>Table1[[#This Row],[Translated Numerics]]</f>
        <v>45</v>
      </c>
      <c r="I88" t="s">
        <v>81</v>
      </c>
      <c r="J88" s="4">
        <v>81</v>
      </c>
    </row>
    <row r="89" spans="2:10" x14ac:dyDescent="0.25">
      <c r="B89" s="7">
        <v>82</v>
      </c>
      <c r="C89" t="s">
        <v>82</v>
      </c>
      <c r="D89">
        <f t="shared" si="1"/>
        <v>46</v>
      </c>
      <c r="H89" s="7">
        <f>Table1[[#This Row],[Translated Numerics]]</f>
        <v>46</v>
      </c>
      <c r="I89" t="s">
        <v>82</v>
      </c>
      <c r="J89" s="3">
        <v>82</v>
      </c>
    </row>
    <row r="90" spans="2:10" x14ac:dyDescent="0.25">
      <c r="B90" s="7">
        <v>83</v>
      </c>
      <c r="C90" t="s">
        <v>83</v>
      </c>
      <c r="D90">
        <f t="shared" si="1"/>
        <v>47</v>
      </c>
      <c r="H90" s="7">
        <f>Table1[[#This Row],[Translated Numerics]]</f>
        <v>47</v>
      </c>
      <c r="I90" t="s">
        <v>83</v>
      </c>
      <c r="J90" s="3">
        <v>83</v>
      </c>
    </row>
    <row r="91" spans="2:10" x14ac:dyDescent="0.25">
      <c r="B91" s="7">
        <v>84</v>
      </c>
      <c r="C91" t="s">
        <v>84</v>
      </c>
      <c r="D91">
        <f t="shared" si="1"/>
        <v>48</v>
      </c>
      <c r="H91" s="7">
        <f>Table1[[#This Row],[Translated Numerics]]</f>
        <v>48</v>
      </c>
      <c r="I91" t="s">
        <v>84</v>
      </c>
      <c r="J91" s="3">
        <v>84</v>
      </c>
    </row>
    <row r="92" spans="2:10" x14ac:dyDescent="0.25">
      <c r="B92" s="7">
        <v>85</v>
      </c>
      <c r="C92" t="s">
        <v>85</v>
      </c>
      <c r="D92">
        <f t="shared" si="1"/>
        <v>49</v>
      </c>
      <c r="H92" s="7">
        <f>Table1[[#This Row],[Translated Numerics]]</f>
        <v>49</v>
      </c>
      <c r="I92" t="s">
        <v>85</v>
      </c>
      <c r="J92" s="4">
        <v>85</v>
      </c>
    </row>
    <row r="93" spans="2:10" x14ac:dyDescent="0.25">
      <c r="B93" s="7">
        <v>86</v>
      </c>
      <c r="C93" t="s">
        <v>86</v>
      </c>
      <c r="D93">
        <f t="shared" si="1"/>
        <v>50</v>
      </c>
      <c r="H93" s="7">
        <f>Table1[[#This Row],[Translated Numerics]]</f>
        <v>50</v>
      </c>
      <c r="I93" t="s">
        <v>86</v>
      </c>
      <c r="J93" s="3">
        <v>86</v>
      </c>
    </row>
    <row r="94" spans="2:10" x14ac:dyDescent="0.25">
      <c r="B94" s="7">
        <v>87</v>
      </c>
      <c r="C94" t="s">
        <v>87</v>
      </c>
      <c r="D94">
        <f t="shared" si="1"/>
        <v>51</v>
      </c>
      <c r="H94" s="7">
        <f>Table1[[#This Row],[Translated Numerics]]</f>
        <v>51</v>
      </c>
      <c r="I94" t="s">
        <v>87</v>
      </c>
      <c r="J94" s="3">
        <v>87</v>
      </c>
    </row>
    <row r="95" spans="2:10" x14ac:dyDescent="0.25">
      <c r="B95" s="7">
        <v>88</v>
      </c>
      <c r="C95" t="s">
        <v>88</v>
      </c>
      <c r="D95">
        <f t="shared" si="1"/>
        <v>52</v>
      </c>
      <c r="H95" s="7">
        <f>Table1[[#This Row],[Translated Numerics]]</f>
        <v>52</v>
      </c>
      <c r="I95" t="s">
        <v>88</v>
      </c>
      <c r="J95" s="3">
        <v>88</v>
      </c>
    </row>
    <row r="96" spans="2:10" x14ac:dyDescent="0.25">
      <c r="B96" s="7">
        <v>89</v>
      </c>
      <c r="C96" t="s">
        <v>89</v>
      </c>
      <c r="D96">
        <f t="shared" si="1"/>
        <v>53</v>
      </c>
      <c r="H96" s="7">
        <f>Table1[[#This Row],[Translated Numerics]]</f>
        <v>53</v>
      </c>
      <c r="I96" t="s">
        <v>89</v>
      </c>
      <c r="J96" s="4">
        <v>89</v>
      </c>
    </row>
  </sheetData>
  <mergeCells count="3">
    <mergeCell ref="B2:C2"/>
    <mergeCell ref="B5:D5"/>
    <mergeCell ref="H5:J5"/>
  </mergeCells>
  <conditionalFormatting sqref="C3">
    <cfRule type="containsText" dxfId="7" priority="1" operator="containsText" text="BAD">
      <formula>NOT(ISERROR(SEARCH("BAD",C3)))</formula>
    </cfRule>
    <cfRule type="containsText" dxfId="6" priority="2" operator="containsText" text="OK">
      <formula>NOT(ISERROR(SEARCH("OK",C3)))</formula>
    </cfRule>
    <cfRule type="containsText" dxfId="5" priority="3" operator="containsText" text="OK">
      <formula>NOT(ISERROR(SEARCH("OK",C3)))</formula>
    </cfRule>
  </conditionalFormatting>
  <dataValidations count="6">
    <dataValidation allowBlank="1" showInputMessage="1" showErrorMessage="1" promptTitle="Enter Translation Factor" prompt="Translation factor shifts the translated numerics column by the amount specified. Will give you a different encryption depending on the factor. The value must be between 0 and 61 inclusive. Be aware that a value of 0 will result in no encryption. " sqref="B3" xr:uid="{ADEF353B-D3A5-429C-8A61-C85E8C741972}"/>
    <dataValidation allowBlank="1" showInputMessage="1" showErrorMessage="1" promptTitle="TEMP TRANSLATED NUMERIC" prompt="Temporary formula / storage for the translated numeric values. Passes this value to the TEMP NUMERICS cell._x000a_" sqref="F2" xr:uid="{C473CE3D-9582-405F-9D93-E58E1A5C7C34}"/>
    <dataValidation allowBlank="1" showInputMessage="1" showErrorMessage="1" promptTitle="TEMPORARY TRANSLATED CHARACTER" prompt="Temporary cell used to store the translated ASCII character after encryption. Used by the encryptChar function." sqref="G2" xr:uid="{6682A07A-690A-4D88-BB6C-EF499C0863D3}"/>
    <dataValidation allowBlank="1" showInputMessage="1" showErrorMessage="1" promptTitle="TEMPORARY CHARACTER" prompt="Used to store temporary character for both conversion and return in the encryption and decryption functions." sqref="E2" xr:uid="{F8767630-110A-43E4-A6AA-7BC6BBD257D7}"/>
    <dataValidation allowBlank="1" showInputMessage="1" showErrorMessage="1" promptTitle="Space character" prompt="Like the rest of the characters above it, but its the space character." sqref="C69" xr:uid="{953B7B18-41E5-4C4F-9375-0E59E05FDBF1}"/>
    <dataValidation allowBlank="1" showInputMessage="1" showErrorMessage="1" promptTitle="Space Character" prompt="Like the rest of the characters above it, but its the space character." sqref="I69" xr:uid="{E29CA1C7-4D62-4D8A-AF4F-F884ECEC357C}"/>
  </dataValidations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F9B12-4C55-4357-9D2B-9726F20B9AD0}">
  <sheetPr codeName="Sheet3"/>
  <dimension ref="A1:B3"/>
  <sheetViews>
    <sheetView workbookViewId="0">
      <selection activeCell="J28" sqref="J28"/>
    </sheetView>
  </sheetViews>
  <sheetFormatPr defaultRowHeight="15" x14ac:dyDescent="0.25"/>
  <sheetData>
    <row r="1" spans="1:2" x14ac:dyDescent="0.25">
      <c r="A1" t="s">
        <v>90</v>
      </c>
      <c r="B1">
        <v>18</v>
      </c>
    </row>
    <row r="2" spans="1:2" x14ac:dyDescent="0.25">
      <c r="A2" t="s">
        <v>91</v>
      </c>
      <c r="B2">
        <v>20</v>
      </c>
    </row>
    <row r="3" spans="1:2" x14ac:dyDescent="0.25">
      <c r="A3" t="s">
        <v>92</v>
      </c>
      <c r="B3">
        <v>22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D43057929B794CBC8D73E3381C3DF0" ma:contentTypeVersion="10" ma:contentTypeDescription="Create a new document." ma:contentTypeScope="" ma:versionID="eddf1563feb118005570cbcf523dae8a">
  <xsd:schema xmlns:xsd="http://www.w3.org/2001/XMLSchema" xmlns:xs="http://www.w3.org/2001/XMLSchema" xmlns:p="http://schemas.microsoft.com/office/2006/metadata/properties" xmlns:ns3="e628fa02-9a3d-420e-a2ec-4fb7aeb19e62" targetNamespace="http://schemas.microsoft.com/office/2006/metadata/properties" ma:root="true" ma:fieldsID="cc33852adb49e652981853d7da072181" ns3:_="">
    <xsd:import namespace="e628fa02-9a3d-420e-a2ec-4fb7aeb19e6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28fa02-9a3d-420e-a2ec-4fb7aeb19e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B13520B-CCA8-4B43-95FB-FCEA9044B36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DB6375-A643-43F9-8E61-BD0A44464E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D4AAEA2-D577-47DB-B3C4-D7385DECBB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28fa02-9a3d-420e-a2ec-4fb7aeb19e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Main</vt:lpstr>
      <vt:lpstr>Cipher Tables</vt:lpstr>
      <vt:lpstr>Chart</vt:lpstr>
      <vt:lpstr>DecryptTable</vt:lpstr>
      <vt:lpstr>EncryptTable</vt:lpstr>
      <vt:lpstr>TempChar</vt:lpstr>
      <vt:lpstr>TempTransNum</vt:lpstr>
      <vt:lpstr>TransChar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Secara</dc:creator>
  <cp:lastModifiedBy>Andrei Secara</cp:lastModifiedBy>
  <dcterms:created xsi:type="dcterms:W3CDTF">2020-11-09T17:48:07Z</dcterms:created>
  <dcterms:modified xsi:type="dcterms:W3CDTF">2020-11-11T18:54:59Z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0x010100F5D43057929B794CBC8D73E3381C3DF0</vt:lpwstr>
  </property>
</Properties>
</file>